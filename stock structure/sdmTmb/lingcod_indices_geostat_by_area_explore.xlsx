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adlena.gertseva\Desktop\Center gravity\lingcod\"/>
    </mc:Choice>
  </mc:AlternateContent>
  <xr:revisionPtr revIDLastSave="0" documentId="13_ncr:1_{68C4CE85-3417-4A1D-8739-29CCA9DEE38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ingcod_indices" sheetId="1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32" i="1" l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31" i="1"/>
</calcChain>
</file>

<file path=xl/sharedStrings.xml><?xml version="1.0" encoding="utf-8"?>
<sst xmlns="http://schemas.openxmlformats.org/spreadsheetml/2006/main" count="203" uniqueCount="19">
  <si>
    <t>area</t>
  </si>
  <si>
    <t>year</t>
  </si>
  <si>
    <t>est</t>
  </si>
  <si>
    <t>lwr</t>
  </si>
  <si>
    <t>upr</t>
  </si>
  <si>
    <t>log_est</t>
  </si>
  <si>
    <t>se</t>
  </si>
  <si>
    <t>se_natural</t>
  </si>
  <si>
    <t>type</t>
  </si>
  <si>
    <t>Coastwide</t>
  </si>
  <si>
    <t>index</t>
  </si>
  <si>
    <t>WA</t>
  </si>
  <si>
    <t>OR</t>
  </si>
  <si>
    <t>CA</t>
  </si>
  <si>
    <t>Column Labels</t>
  </si>
  <si>
    <t>Grand Total</t>
  </si>
  <si>
    <t>Row Labels</t>
  </si>
  <si>
    <t>Average of est</t>
  </si>
  <si>
    <t>z-score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</si>
</sst>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lingcod_indices!$V$30</c:f>
              <c:strCache>
                <c:ptCount val="1"/>
                <c:pt idx="0">
                  <c:v>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lingcod_indices!$U$31:$U$52</c:f>
              <c:numCache>
                <c:formatCode>General</c:formatCod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</c:numCache>
            </c:numRef>
          </c:cat>
          <c:val>
            <c:numRef>
              <c:f>lingcod_indices!$V$31:$V$52</c:f>
              <c:numCache>
                <c:formatCode>General</c:formatCode>
                <c:ptCount val="22"/>
                <c:pt idx="0">
                  <c:v>0.75488619969777648</c:v>
                </c:pt>
                <c:pt idx="1">
                  <c:v>1.0533289421568315</c:v>
                </c:pt>
                <c:pt idx="2">
                  <c:v>0.57403303626649382</c:v>
                </c:pt>
                <c:pt idx="3">
                  <c:v>0.11787477510422072</c:v>
                </c:pt>
                <c:pt idx="4">
                  <c:v>-1.1153513377586963</c:v>
                </c:pt>
                <c:pt idx="5">
                  <c:v>-1.3832570743217387</c:v>
                </c:pt>
                <c:pt idx="6">
                  <c:v>-0.96638197667527403</c:v>
                </c:pt>
                <c:pt idx="7">
                  <c:v>-1.2437232742199755</c:v>
                </c:pt>
                <c:pt idx="8">
                  <c:v>-0.5482268457051559</c:v>
                </c:pt>
                <c:pt idx="9">
                  <c:v>0.36306741237826029</c:v>
                </c:pt>
                <c:pt idx="10">
                  <c:v>1.0682355774361045</c:v>
                </c:pt>
                <c:pt idx="11">
                  <c:v>1.4028116450759194</c:v>
                </c:pt>
                <c:pt idx="12">
                  <c:v>0.54433612363923156</c:v>
                </c:pt>
                <c:pt idx="13">
                  <c:v>0.96339367169483614</c:v>
                </c:pt>
                <c:pt idx="14">
                  <c:v>1.3688920338881456</c:v>
                </c:pt>
                <c:pt idx="15">
                  <c:v>1.6001244274905642</c:v>
                </c:pt>
                <c:pt idx="16">
                  <c:v>-0.68027846907673095</c:v>
                </c:pt>
                <c:pt idx="17">
                  <c:v>-0.59526370243951332</c:v>
                </c:pt>
                <c:pt idx="18">
                  <c:v>-1.4073831767716334</c:v>
                </c:pt>
                <c:pt idx="19">
                  <c:v>-0.95314462641959008</c:v>
                </c:pt>
                <c:pt idx="20">
                  <c:v>-0.5343115729868162</c:v>
                </c:pt>
                <c:pt idx="21">
                  <c:v>-0.38366178845326904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F-45B3-BE22-8B8631BF4FA0}"/>
            </c:ext>
          </c:extLst>
        </c:ser>
        <c:ser>
          <c:idx val="1"/>
          <c:order val="1"/>
          <c:tx>
            <c:strRef>
              <c:f>lingcod_indices!$W$30</c:f>
              <c:strCache>
                <c:ptCount val="1"/>
                <c:pt idx="0">
                  <c:v>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lingcod_indices!$U$31:$U$52</c:f>
              <c:numCache>
                <c:formatCode>General</c:formatCod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</c:numCache>
            </c:numRef>
          </c:cat>
          <c:val>
            <c:numRef>
              <c:f>lingcod_indices!$W$31:$W$52</c:f>
              <c:numCache>
                <c:formatCode>General</c:formatCode>
                <c:ptCount val="22"/>
                <c:pt idx="0">
                  <c:v>0.75780070819559553</c:v>
                </c:pt>
                <c:pt idx="1">
                  <c:v>0.42429227024261773</c:v>
                </c:pt>
                <c:pt idx="2">
                  <c:v>-0.33238623693822855</c:v>
                </c:pt>
                <c:pt idx="3">
                  <c:v>1.3799408581364401</c:v>
                </c:pt>
                <c:pt idx="4">
                  <c:v>-0.7694960176047253</c:v>
                </c:pt>
                <c:pt idx="5">
                  <c:v>-0.58317167271806247</c:v>
                </c:pt>
                <c:pt idx="6">
                  <c:v>-1.3612878408371991</c:v>
                </c:pt>
                <c:pt idx="7">
                  <c:v>-1.2071959153731628</c:v>
                </c:pt>
                <c:pt idx="8">
                  <c:v>-1.7430909973679021E-2</c:v>
                </c:pt>
                <c:pt idx="9">
                  <c:v>-0.17558691690726849</c:v>
                </c:pt>
                <c:pt idx="10">
                  <c:v>0.92663351308544428</c:v>
                </c:pt>
                <c:pt idx="11">
                  <c:v>0.37073754955196264</c:v>
                </c:pt>
                <c:pt idx="12">
                  <c:v>-0.23115129149302249</c:v>
                </c:pt>
                <c:pt idx="13">
                  <c:v>2.1697094193826856</c:v>
                </c:pt>
                <c:pt idx="14">
                  <c:v>0.98402436151423467</c:v>
                </c:pt>
                <c:pt idx="15">
                  <c:v>1.9217704051714386</c:v>
                </c:pt>
                <c:pt idx="16">
                  <c:v>-0.65156560988610301</c:v>
                </c:pt>
                <c:pt idx="17">
                  <c:v>-0.70070825339163578</c:v>
                </c:pt>
                <c:pt idx="18">
                  <c:v>-1.2113823618875874</c:v>
                </c:pt>
                <c:pt idx="19">
                  <c:v>-0.89584706362922095</c:v>
                </c:pt>
                <c:pt idx="20">
                  <c:v>-0.26680757433453373</c:v>
                </c:pt>
                <c:pt idx="21">
                  <c:v>-0.53089142030599124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F-45B3-BE22-8B8631BF4FA0}"/>
            </c:ext>
          </c:extLst>
        </c:ser>
        <c:ser>
          <c:idx val="2"/>
          <c:order val="2"/>
          <c:tx>
            <c:strRef>
              <c:f>lingcod_indices!$X$30</c:f>
              <c:strCache>
                <c:ptCount val="1"/>
                <c:pt idx="0">
                  <c:v>WA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lingcod_indices!$U$31:$U$52</c:f>
              <c:numCache>
                <c:formatCode>General</c:formatCod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</c:numCache>
            </c:numRef>
          </c:cat>
          <c:val>
            <c:numRef>
              <c:f>lingcod_indices!$X$31:$X$52</c:f>
              <c:numCache>
                <c:formatCode>General</c:formatCode>
                <c:ptCount val="22"/>
                <c:pt idx="0">
                  <c:v>8.4315705010389777E-2</c:v>
                </c:pt>
                <c:pt idx="1">
                  <c:v>-0.54350285576802448</c:v>
                </c:pt>
                <c:pt idx="2">
                  <c:v>-0.86767292242241145</c:v>
                </c:pt>
                <c:pt idx="3">
                  <c:v>-0.35838579109335805</c:v>
                </c:pt>
                <c:pt idx="4">
                  <c:v>-0.86839880685394033</c:v>
                </c:pt>
                <c:pt idx="5">
                  <c:v>-0.89272628540661858</c:v>
                </c:pt>
                <c:pt idx="6">
                  <c:v>-1.1761040981693045</c:v>
                </c:pt>
                <c:pt idx="7">
                  <c:v>-0.71016249128098885</c:v>
                </c:pt>
                <c:pt idx="8">
                  <c:v>-0.18384749693668187</c:v>
                </c:pt>
                <c:pt idx="9">
                  <c:v>0.4552162308465546</c:v>
                </c:pt>
                <c:pt idx="10">
                  <c:v>0.4249631818981835</c:v>
                </c:pt>
                <c:pt idx="11">
                  <c:v>0.97865572243328858</c:v>
                </c:pt>
                <c:pt idx="12">
                  <c:v>-1.6453674505036736E-2</c:v>
                </c:pt>
                <c:pt idx="13">
                  <c:v>-0.25228988948191927</c:v>
                </c:pt>
                <c:pt idx="14">
                  <c:v>-0.26543911742122805</c:v>
                </c:pt>
                <c:pt idx="15">
                  <c:v>-0.46725580760803076</c:v>
                </c:pt>
                <c:pt idx="16">
                  <c:v>-0.50120643637387674</c:v>
                </c:pt>
                <c:pt idx="17">
                  <c:v>3.2238845014897786E-2</c:v>
                </c:pt>
                <c:pt idx="18">
                  <c:v>-0.18908516706634707</c:v>
                </c:pt>
                <c:pt idx="19">
                  <c:v>6.9133417069545663E-2</c:v>
                </c:pt>
                <c:pt idx="20">
                  <c:v>2.0846019961374878</c:v>
                </c:pt>
                <c:pt idx="21">
                  <c:v>3.1634057419774235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F-45B3-BE22-8B8631BF4FA0}"/>
            </c:ext>
          </c:extLst>
        </c:ser>
        <c:ser>
          <c:idx val="3"/>
          <c:order val="3"/>
          <c:tx>
            <c:strRef>
              <c:f>lingcod_indices!$Y$30</c:f>
              <c:strCache>
                <c:ptCount val="1"/>
                <c:pt idx="0">
                  <c:v>Coastwide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lingcod_indices!$U$31:$U$52</c:f>
              <c:numCache>
                <c:formatCode>General</c:formatCod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</c:numCache>
            </c:numRef>
          </c:cat>
          <c:val>
            <c:numRef>
              <c:f>lingcod_indices!$Y$31:$Y$52</c:f>
              <c:numCache>
                <c:formatCode>General</c:formatCode>
                <c:ptCount val="22"/>
                <c:pt idx="0">
                  <c:v>0.68566728060837556</c:v>
                </c:pt>
                <c:pt idx="1">
                  <c:v>0.44445941270909795</c:v>
                </c:pt>
                <c:pt idx="2">
                  <c:v>-0.20495376040981672</c:v>
                </c:pt>
                <c:pt idx="3">
                  <c:v>0.25049092483104929</c:v>
                </c:pt>
                <c:pt idx="4">
                  <c:v>-1.3060995297106568</c:v>
                </c:pt>
                <c:pt idx="5">
                  <c:v>-1.4251263115593007</c:v>
                </c:pt>
                <c:pt idx="6">
                  <c:v>-1.5369733674137953</c:v>
                </c:pt>
                <c:pt idx="7">
                  <c:v>-1.4154090547957534</c:v>
                </c:pt>
                <c:pt idx="8">
                  <c:v>-0.41953953176993108</c:v>
                </c:pt>
                <c:pt idx="9">
                  <c:v>0.40116641144328113</c:v>
                </c:pt>
                <c:pt idx="10">
                  <c:v>1.0902003862898142</c:v>
                </c:pt>
                <c:pt idx="11">
                  <c:v>1.4245064358147235</c:v>
                </c:pt>
                <c:pt idx="12">
                  <c:v>0.24693090946642815</c:v>
                </c:pt>
                <c:pt idx="13">
                  <c:v>1.0087983713194968</c:v>
                </c:pt>
                <c:pt idx="14">
                  <c:v>0.92201352626264765</c:v>
                </c:pt>
                <c:pt idx="15">
                  <c:v>1.2019572510085126</c:v>
                </c:pt>
                <c:pt idx="16">
                  <c:v>-0.83043742907309448</c:v>
                </c:pt>
                <c:pt idx="17">
                  <c:v>-0.51690180459353041</c:v>
                </c:pt>
                <c:pt idx="18">
                  <c:v>-1.2411828805162335</c:v>
                </c:pt>
                <c:pt idx="19">
                  <c:v>-0.75826877966583495</c:v>
                </c:pt>
                <c:pt idx="20">
                  <c:v>0.70047294341175281</c:v>
                </c:pt>
                <c:pt idx="21">
                  <c:v>1.2782285963427624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F-45B3-BE22-8B8631BF4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1863919"/>
        <c:axId val="671866831"/>
      </c:lineChart>
      <c:catAx>
        <c:axId val="67186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866831"/>
        <c:crosses val="autoZero"/>
        <c:auto val="1"/>
        <c:lblAlgn val="ctr"/>
        <c:lblOffset val="100"/>
        <c:noMultiLvlLbl val="0"/>
      </c:catAx>
      <c:valAx>
        <c:axId val="671866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863919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lingcod_indices!$V$30</c:f>
              <c:strCache>
                <c:ptCount val="1"/>
                <c:pt idx="0">
                  <c:v>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lingcod_indices!$U$31:$U$52</c:f>
              <c:numCache>
                <c:formatCode>General</c:formatCod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</c:numCache>
            </c:numRef>
          </c:cat>
          <c:val>
            <c:numRef>
              <c:f>lingcod_indices!$V$31:$V$52</c:f>
              <c:numCache>
                <c:formatCode>General</c:formatCode>
                <c:ptCount val="22"/>
                <c:pt idx="0">
                  <c:v>0.75488619969777648</c:v>
                </c:pt>
                <c:pt idx="1">
                  <c:v>1.0533289421568315</c:v>
                </c:pt>
                <c:pt idx="2">
                  <c:v>0.57403303626649382</c:v>
                </c:pt>
                <c:pt idx="3">
                  <c:v>0.11787477510422072</c:v>
                </c:pt>
                <c:pt idx="4">
                  <c:v>-1.1153513377586963</c:v>
                </c:pt>
                <c:pt idx="5">
                  <c:v>-1.3832570743217387</c:v>
                </c:pt>
                <c:pt idx="6">
                  <c:v>-0.96638197667527403</c:v>
                </c:pt>
                <c:pt idx="7">
                  <c:v>-1.2437232742199755</c:v>
                </c:pt>
                <c:pt idx="8">
                  <c:v>-0.5482268457051559</c:v>
                </c:pt>
                <c:pt idx="9">
                  <c:v>0.36306741237826029</c:v>
                </c:pt>
                <c:pt idx="10">
                  <c:v>1.0682355774361045</c:v>
                </c:pt>
                <c:pt idx="11">
                  <c:v>1.4028116450759194</c:v>
                </c:pt>
                <c:pt idx="12">
                  <c:v>0.54433612363923156</c:v>
                </c:pt>
                <c:pt idx="13">
                  <c:v>0.96339367169483614</c:v>
                </c:pt>
                <c:pt idx="14">
                  <c:v>1.3688920338881456</c:v>
                </c:pt>
                <c:pt idx="15">
                  <c:v>1.6001244274905642</c:v>
                </c:pt>
                <c:pt idx="16">
                  <c:v>-0.68027846907673095</c:v>
                </c:pt>
                <c:pt idx="17">
                  <c:v>-0.59526370243951332</c:v>
                </c:pt>
                <c:pt idx="18">
                  <c:v>-1.4073831767716334</c:v>
                </c:pt>
                <c:pt idx="19">
                  <c:v>-0.95314462641959008</c:v>
                </c:pt>
                <c:pt idx="20">
                  <c:v>-0.5343115729868162</c:v>
                </c:pt>
                <c:pt idx="21">
                  <c:v>-0.38366178845326904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47-4C6C-B5AC-045505AD1F66}"/>
            </c:ext>
          </c:extLst>
        </c:ser>
        <c:ser>
          <c:idx val="1"/>
          <c:order val="1"/>
          <c:tx>
            <c:strRef>
              <c:f>lingcod_indices!$W$30</c:f>
              <c:strCache>
                <c:ptCount val="1"/>
                <c:pt idx="0">
                  <c:v>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lingcod_indices!$U$31:$U$52</c:f>
              <c:numCache>
                <c:formatCode>General</c:formatCod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</c:numCache>
            </c:numRef>
          </c:cat>
          <c:val>
            <c:numRef>
              <c:f>lingcod_indices!$W$31:$W$52</c:f>
              <c:numCache>
                <c:formatCode>General</c:formatCode>
                <c:ptCount val="22"/>
                <c:pt idx="0">
                  <c:v>0.75780070819559553</c:v>
                </c:pt>
                <c:pt idx="1">
                  <c:v>0.42429227024261773</c:v>
                </c:pt>
                <c:pt idx="2">
                  <c:v>-0.33238623693822855</c:v>
                </c:pt>
                <c:pt idx="3">
                  <c:v>1.3799408581364401</c:v>
                </c:pt>
                <c:pt idx="4">
                  <c:v>-0.7694960176047253</c:v>
                </c:pt>
                <c:pt idx="5">
                  <c:v>-0.58317167271806247</c:v>
                </c:pt>
                <c:pt idx="6">
                  <c:v>-1.3612878408371991</c:v>
                </c:pt>
                <c:pt idx="7">
                  <c:v>-1.2071959153731628</c:v>
                </c:pt>
                <c:pt idx="8">
                  <c:v>-1.7430909973679021E-2</c:v>
                </c:pt>
                <c:pt idx="9">
                  <c:v>-0.17558691690726849</c:v>
                </c:pt>
                <c:pt idx="10">
                  <c:v>0.92663351308544428</c:v>
                </c:pt>
                <c:pt idx="11">
                  <c:v>0.37073754955196264</c:v>
                </c:pt>
                <c:pt idx="12">
                  <c:v>-0.23115129149302249</c:v>
                </c:pt>
                <c:pt idx="13">
                  <c:v>2.1697094193826856</c:v>
                </c:pt>
                <c:pt idx="14">
                  <c:v>0.98402436151423467</c:v>
                </c:pt>
                <c:pt idx="15">
                  <c:v>1.9217704051714386</c:v>
                </c:pt>
                <c:pt idx="16">
                  <c:v>-0.65156560988610301</c:v>
                </c:pt>
                <c:pt idx="17">
                  <c:v>-0.70070825339163578</c:v>
                </c:pt>
                <c:pt idx="18">
                  <c:v>-1.2113823618875874</c:v>
                </c:pt>
                <c:pt idx="19">
                  <c:v>-0.89584706362922095</c:v>
                </c:pt>
                <c:pt idx="20">
                  <c:v>-0.26680757433453373</c:v>
                </c:pt>
                <c:pt idx="21">
                  <c:v>-0.53089142030599124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47-4C6C-B5AC-045505AD1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4408831"/>
        <c:axId val="664409663"/>
      </c:lineChart>
      <c:catAx>
        <c:axId val="66440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409663"/>
        <c:crosses val="autoZero"/>
        <c:auto val="1"/>
        <c:lblAlgn val="ctr"/>
        <c:lblOffset val="100"/>
        <c:noMultiLvlLbl val="0"/>
      </c:catAx>
      <c:valAx>
        <c:axId val="664409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40883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lingcod_indices!$W$30</c:f>
              <c:strCache>
                <c:ptCount val="1"/>
                <c:pt idx="0">
                  <c:v>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lingcod_indices!$U$31:$U$52</c:f>
              <c:numCache>
                <c:formatCode>General</c:formatCod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</c:numCache>
            </c:numRef>
          </c:cat>
          <c:val>
            <c:numRef>
              <c:f>lingcod_indices!$W$31:$W$52</c:f>
              <c:numCache>
                <c:formatCode>General</c:formatCode>
                <c:ptCount val="22"/>
                <c:pt idx="0">
                  <c:v>0.75780070819559553</c:v>
                </c:pt>
                <c:pt idx="1">
                  <c:v>0.42429227024261773</c:v>
                </c:pt>
                <c:pt idx="2">
                  <c:v>-0.33238623693822855</c:v>
                </c:pt>
                <c:pt idx="3">
                  <c:v>1.3799408581364401</c:v>
                </c:pt>
                <c:pt idx="4">
                  <c:v>-0.7694960176047253</c:v>
                </c:pt>
                <c:pt idx="5">
                  <c:v>-0.58317167271806247</c:v>
                </c:pt>
                <c:pt idx="6">
                  <c:v>-1.3612878408371991</c:v>
                </c:pt>
                <c:pt idx="7">
                  <c:v>-1.2071959153731628</c:v>
                </c:pt>
                <c:pt idx="8">
                  <c:v>-1.7430909973679021E-2</c:v>
                </c:pt>
                <c:pt idx="9">
                  <c:v>-0.17558691690726849</c:v>
                </c:pt>
                <c:pt idx="10">
                  <c:v>0.92663351308544428</c:v>
                </c:pt>
                <c:pt idx="11">
                  <c:v>0.37073754955196264</c:v>
                </c:pt>
                <c:pt idx="12">
                  <c:v>-0.23115129149302249</c:v>
                </c:pt>
                <c:pt idx="13">
                  <c:v>2.1697094193826856</c:v>
                </c:pt>
                <c:pt idx="14">
                  <c:v>0.98402436151423467</c:v>
                </c:pt>
                <c:pt idx="15">
                  <c:v>1.9217704051714386</c:v>
                </c:pt>
                <c:pt idx="16">
                  <c:v>-0.65156560988610301</c:v>
                </c:pt>
                <c:pt idx="17">
                  <c:v>-0.70070825339163578</c:v>
                </c:pt>
                <c:pt idx="18">
                  <c:v>-1.2113823618875874</c:v>
                </c:pt>
                <c:pt idx="19">
                  <c:v>-0.89584706362922095</c:v>
                </c:pt>
                <c:pt idx="20">
                  <c:v>-0.26680757433453373</c:v>
                </c:pt>
                <c:pt idx="21">
                  <c:v>-0.53089142030599124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EE-4B08-A6E6-200D59B57359}"/>
            </c:ext>
          </c:extLst>
        </c:ser>
        <c:ser>
          <c:idx val="1"/>
          <c:order val="1"/>
          <c:tx>
            <c:strRef>
              <c:f>lingcod_indices!$X$30</c:f>
              <c:strCache>
                <c:ptCount val="1"/>
                <c:pt idx="0">
                  <c:v>WA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lingcod_indices!$U$31:$U$52</c:f>
              <c:numCache>
                <c:formatCode>General</c:formatCod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</c:numCache>
            </c:numRef>
          </c:cat>
          <c:val>
            <c:numRef>
              <c:f>lingcod_indices!$X$31:$X$52</c:f>
              <c:numCache>
                <c:formatCode>General</c:formatCode>
                <c:ptCount val="22"/>
                <c:pt idx="0">
                  <c:v>8.4315705010389777E-2</c:v>
                </c:pt>
                <c:pt idx="1">
                  <c:v>-0.54350285576802448</c:v>
                </c:pt>
                <c:pt idx="2">
                  <c:v>-0.86767292242241145</c:v>
                </c:pt>
                <c:pt idx="3">
                  <c:v>-0.35838579109335805</c:v>
                </c:pt>
                <c:pt idx="4">
                  <c:v>-0.86839880685394033</c:v>
                </c:pt>
                <c:pt idx="5">
                  <c:v>-0.89272628540661858</c:v>
                </c:pt>
                <c:pt idx="6">
                  <c:v>-1.1761040981693045</c:v>
                </c:pt>
                <c:pt idx="7">
                  <c:v>-0.71016249128098885</c:v>
                </c:pt>
                <c:pt idx="8">
                  <c:v>-0.18384749693668187</c:v>
                </c:pt>
                <c:pt idx="9">
                  <c:v>0.4552162308465546</c:v>
                </c:pt>
                <c:pt idx="10">
                  <c:v>0.4249631818981835</c:v>
                </c:pt>
                <c:pt idx="11">
                  <c:v>0.97865572243328858</c:v>
                </c:pt>
                <c:pt idx="12">
                  <c:v>-1.6453674505036736E-2</c:v>
                </c:pt>
                <c:pt idx="13">
                  <c:v>-0.25228988948191927</c:v>
                </c:pt>
                <c:pt idx="14">
                  <c:v>-0.26543911742122805</c:v>
                </c:pt>
                <c:pt idx="15">
                  <c:v>-0.46725580760803076</c:v>
                </c:pt>
                <c:pt idx="16">
                  <c:v>-0.50120643637387674</c:v>
                </c:pt>
                <c:pt idx="17">
                  <c:v>3.2238845014897786E-2</c:v>
                </c:pt>
                <c:pt idx="18">
                  <c:v>-0.18908516706634707</c:v>
                </c:pt>
                <c:pt idx="19">
                  <c:v>6.9133417069545663E-2</c:v>
                </c:pt>
                <c:pt idx="20">
                  <c:v>2.0846019961374878</c:v>
                </c:pt>
                <c:pt idx="21">
                  <c:v>3.1634057419774235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EE-4B08-A6E6-200D59B57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6347999"/>
        <c:axId val="736350495"/>
      </c:lineChart>
      <c:catAx>
        <c:axId val="73634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350495"/>
        <c:crosses val="autoZero"/>
        <c:auto val="1"/>
        <c:lblAlgn val="ctr"/>
        <c:lblOffset val="100"/>
        <c:noMultiLvlLbl val="0"/>
      </c:catAx>
      <c:valAx>
        <c:axId val="736350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347999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301625</xdr:colOff>
      <xdr:row>17</xdr:row>
      <xdr:rowOff>173355</xdr:rowOff>
    </xdr:from>
    <xdr:to>
      <xdr:col>33</xdr:col>
      <xdr:colOff>606425</xdr:colOff>
      <xdr:row>32</xdr:row>
      <xdr:rowOff>158115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94A7CD-6297-43EE-9A8F-26659F703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467360</xdr:colOff>
      <xdr:row>33</xdr:row>
      <xdr:rowOff>98425</xdr:rowOff>
    </xdr:from>
    <xdr:to>
      <xdr:col>34</xdr:col>
      <xdr:colOff>27305</xdr:colOff>
      <xdr:row>48</xdr:row>
      <xdr:rowOff>79375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C347DE8-AFAB-4CC4-8128-2121FFB446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454025</xdr:colOff>
      <xdr:row>48</xdr:row>
      <xdr:rowOff>142875</xdr:rowOff>
    </xdr:from>
    <xdr:to>
      <xdr:col>34</xdr:col>
      <xdr:colOff>25400</xdr:colOff>
      <xdr:row>63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0FF7F78-8475-4762-AB25-4EE46AB188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ladlena.Gertseva" refreshedDate="46274.624360648151" createdVersion="7" refreshedVersion="7" minRefreshableVersion="3" recordCount="88" xr:uid="{00000000-000A-0000-FFFF-FFFF03000000}">
  <cacheSource type="worksheet">
    <worksheetSource ref="B1:J89" sheet="lingcod_indices"/>
  </cacheSource>
  <cacheFields count="9">
    <cacheField name="area" numFmtId="0">
      <sharedItems count="4">
        <s v="Coastwide"/>
        <s v="WA"/>
        <s v="OR"/>
        <s v="CA"/>
      </sharedItems>
    </cacheField>
    <cacheField name="year" numFmtId="0">
      <sharedItems containsSemiMixedTypes="0" containsString="0" containsNumber="1" containsInteger="1" minValue="2003" maxValue="2025" count="22"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1"/>
        <n v="2022"/>
        <n v="2023"/>
        <n v="2024"/>
        <n v="2025"/>
      </sharedItems>
    </cacheField>
    <cacheField name="est" numFmtId="0">
      <sharedItems containsSemiMixedTypes="0" containsString="0" containsNumber="1" minValue="3314.8641466651802" maxValue="32262.983128914198"/>
    </cacheField>
    <cacheField name="lwr" numFmtId="0">
      <sharedItems containsSemiMixedTypes="0" containsString="0" containsNumber="1" minValue="2193.6546918735398" maxValue="23268.731175637098"/>
    </cacheField>
    <cacheField name="upr" numFmtId="0">
      <sharedItems containsSemiMixedTypes="0" containsString="0" containsNumber="1" minValue="4815.9937357893796" maxValue="45104.736684847398"/>
    </cacheField>
    <cacheField name="log_est" numFmtId="0">
      <sharedItems containsSemiMixedTypes="0" containsString="0" containsNumber="1" minValue="8.1061719203820708" maxValue="10.381675818852001"/>
    </cacheField>
    <cacheField name="se" numFmtId="0">
      <sharedItems containsSemiMixedTypes="0" containsString="0" containsNumber="1" minValue="0.14779055079389899" maxValue="0.35379957063380202"/>
    </cacheField>
    <cacheField name="se_natural" numFmtId="0">
      <sharedItems containsSemiMixedTypes="0" containsString="0" containsNumber="1" minValue="3314.8641466651802" maxValue="32262.983128914198"/>
    </cacheField>
    <cacheField name="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x v="0"/>
    <x v="0"/>
    <n v="27361.9884807495"/>
    <n v="19121.699597659201"/>
    <n v="39153.340412915801"/>
    <n v="10.2169100474855"/>
    <n v="0.18282528483492499"/>
    <n v="27361.9884807495"/>
    <s v="index"/>
  </r>
  <r>
    <x v="0"/>
    <x v="1"/>
    <n v="25761.9670669691"/>
    <n v="17966.752002406702"/>
    <n v="36939.283576168898"/>
    <n v="10.1566545385983"/>
    <n v="0.183868848383476"/>
    <n v="25761.9670669691"/>
    <s v="index"/>
  </r>
  <r>
    <x v="0"/>
    <x v="2"/>
    <n v="21454.168186149702"/>
    <n v="15110.8364179038"/>
    <n v="30460.3477815591"/>
    <n v="9.9736742265108997"/>
    <n v="0.178833295043103"/>
    <n v="21454.168186149702"/>
    <s v="index"/>
  </r>
  <r>
    <x v="0"/>
    <x v="3"/>
    <n v="24475.3020136837"/>
    <n v="18021.957454281801"/>
    <n v="33239.475244610803"/>
    <n v="10.1054198070032"/>
    <n v="0.15616289757920199"/>
    <n v="24475.3020136837"/>
    <s v="index"/>
  </r>
  <r>
    <x v="0"/>
    <x v="4"/>
    <n v="14149.8591438313"/>
    <n v="10428.6119287249"/>
    <n v="19198.9610082986"/>
    <n v="9.5574599485222809"/>
    <n v="0.15569239857734499"/>
    <n v="14149.8591438313"/>
    <s v="index"/>
  </r>
  <r>
    <x v="0"/>
    <x v="5"/>
    <n v="13360.310272852001"/>
    <n v="9948.4700814675307"/>
    <n v="17942.245302560601"/>
    <n v="9.5000436708368294"/>
    <n v="0.15044644467398399"/>
    <n v="13360.310272852001"/>
    <s v="index"/>
  </r>
  <r>
    <x v="0"/>
    <x v="6"/>
    <n v="12618.387192174499"/>
    <n v="9007.8074723237296"/>
    <n v="17676.187665072201"/>
    <n v="9.4429103301609008"/>
    <n v="0.17197425852433301"/>
    <n v="12618.387192174499"/>
    <s v="index"/>
  </r>
  <r>
    <x v="0"/>
    <x v="7"/>
    <n v="13424.7684476217"/>
    <n v="9870.8014466036802"/>
    <n v="18258.3358450868"/>
    <n v="9.50485667137891"/>
    <n v="0.156901016758385"/>
    <n v="13424.7684476217"/>
    <s v="index"/>
  </r>
  <r>
    <x v="0"/>
    <x v="8"/>
    <n v="20030.741030729801"/>
    <n v="14281.9432578414"/>
    <n v="28093.556947852299"/>
    <n v="9.9050234240179496"/>
    <n v="0.17259098512478599"/>
    <n v="20030.741030729801"/>
    <s v="index"/>
  </r>
  <r>
    <x v="0"/>
    <x v="9"/>
    <n v="25474.788503121199"/>
    <n v="17950.659606641799"/>
    <n v="36152.702101188399"/>
    <n v="10.1454445559219"/>
    <n v="0.17860655530087199"/>
    <n v="25474.788503121301"/>
    <s v="index"/>
  </r>
  <r>
    <x v="0"/>
    <x v="10"/>
    <n v="30045.406883766402"/>
    <n v="20479.4311374834"/>
    <n v="44079.665531276398"/>
    <n v="10.310465079154801"/>
    <n v="0.19555909185095"/>
    <n v="30045.406883766402"/>
    <s v="index"/>
  </r>
  <r>
    <x v="0"/>
    <x v="11"/>
    <n v="32262.983128914198"/>
    <n v="23077.400665245099"/>
    <n v="45104.736684847398"/>
    <n v="10.381675818852001"/>
    <n v="0.17095555328485099"/>
    <n v="32262.983128914198"/>
    <s v="index"/>
  </r>
  <r>
    <x v="0"/>
    <x v="12"/>
    <n v="24451.6871089694"/>
    <n v="17162.369956757298"/>
    <n v="34836.9720488128"/>
    <n v="10.1044544949343"/>
    <n v="0.18060537073771299"/>
    <n v="24451.6871089694"/>
    <s v="index"/>
  </r>
  <r>
    <x v="0"/>
    <x v="13"/>
    <n v="29505.437071787601"/>
    <n v="21133.4596975856"/>
    <n v="41193.956373204703"/>
    <n v="10.292329832863601"/>
    <n v="0.17026690509395001"/>
    <n v="29505.437071787601"/>
    <s v="index"/>
  </r>
  <r>
    <x v="0"/>
    <x v="14"/>
    <n v="28929.760947737799"/>
    <n v="20283.144860042601"/>
    <n v="41262.391718258499"/>
    <n v="10.2726261348091"/>
    <n v="0.181166909153958"/>
    <n v="28929.760947737901"/>
    <s v="index"/>
  </r>
  <r>
    <x v="0"/>
    <x v="15"/>
    <n v="30786.731693127698"/>
    <n v="21574.416695286702"/>
    <n v="43932.721877560798"/>
    <n v="10.3348390869612"/>
    <n v="0.181419459908161"/>
    <n v="30786.731693127698"/>
    <s v="index"/>
  </r>
  <r>
    <x v="0"/>
    <x v="16"/>
    <n v="17305.1025999099"/>
    <n v="11729.243897799601"/>
    <n v="25531.618116457499"/>
    <n v="9.7587566849689402"/>
    <n v="0.19843028101909799"/>
    <n v="17305.1025999099"/>
    <s v="index"/>
  </r>
  <r>
    <x v="0"/>
    <x v="17"/>
    <n v="19384.900898030901"/>
    <n v="14341.9771479143"/>
    <n v="26201.016704389898"/>
    <n v="9.8722497377902307"/>
    <n v="0.153729231299021"/>
    <n v="19384.900898030901"/>
    <s v="index"/>
  </r>
  <r>
    <x v="0"/>
    <x v="18"/>
    <n v="14580.4753991241"/>
    <n v="10681.976929004"/>
    <n v="19901.771392824401"/>
    <n v="9.5874386112810104"/>
    <n v="0.15874037106748501"/>
    <n v="14580.475399124"/>
    <s v="index"/>
  </r>
  <r>
    <x v="0"/>
    <x v="19"/>
    <n v="17783.824067252099"/>
    <n v="13219.6780882763"/>
    <n v="23923.759439758898"/>
    <n v="9.7860445628404893"/>
    <n v="0.15132053569760001"/>
    <n v="17783.824067252099"/>
    <s v="index"/>
  </r>
  <r>
    <x v="0"/>
    <x v="20"/>
    <n v="27460.199943488798"/>
    <n v="20554.369061941001"/>
    <n v="36686.2431371161"/>
    <n v="10.220492960558699"/>
    <n v="0.14779055079389899"/>
    <n v="27460.199943488798"/>
    <s v="index"/>
  </r>
  <r>
    <x v="0"/>
    <x v="21"/>
    <n v="31292.667866999102"/>
    <n v="23268.731175637098"/>
    <n v="42083.560759840402"/>
    <n v="10.3511390956361"/>
    <n v="0.151162658778415"/>
    <n v="31292.667866999102"/>
    <s v="index"/>
  </r>
  <r>
    <x v="1"/>
    <x v="0"/>
    <n v="7658.1256640070696"/>
    <n v="5055.9639317604897"/>
    <n v="11599.5464914843"/>
    <n v="8.94352254140993"/>
    <n v="0.21183998411890101"/>
    <n v="7658.1256640070696"/>
    <s v="index"/>
  </r>
  <r>
    <x v="1"/>
    <x v="1"/>
    <n v="5494.7351904339503"/>
    <n v="3416.6189734649301"/>
    <n v="8836.8398839552901"/>
    <n v="8.6115456746726693"/>
    <n v="0.24242228000379601"/>
    <n v="5494.7351904339503"/>
    <s v="index"/>
  </r>
  <r>
    <x v="1"/>
    <x v="2"/>
    <n v="4377.6824656018998"/>
    <n v="2739.9829503568899"/>
    <n v="6994.24197772549"/>
    <n v="8.3842747458959703"/>
    <n v="0.23906958124062599"/>
    <n v="4377.6824656018898"/>
    <s v="index"/>
  </r>
  <r>
    <x v="1"/>
    <x v="3"/>
    <n v="6132.62728097114"/>
    <n v="3879.71486412379"/>
    <n v="9693.7838692960995"/>
    <n v="8.7213785310694991"/>
    <n v="0.23360714451492501"/>
    <n v="6132.62728097115"/>
    <s v="index"/>
  </r>
  <r>
    <x v="1"/>
    <x v="4"/>
    <n v="4375.1811514290002"/>
    <n v="2898.9792316854"/>
    <n v="6603.08632038417"/>
    <n v="8.3837032039754202"/>
    <n v="0.20999836848233899"/>
    <n v="4375.1811514290102"/>
    <s v="index"/>
  </r>
  <r>
    <x v="1"/>
    <x v="5"/>
    <n v="4291.3514613961597"/>
    <n v="2882.9168891761701"/>
    <n v="6387.8696726805301"/>
    <n v="8.3643569882782707"/>
    <n v="0.20296246364171699"/>
    <n v="4291.3514613961597"/>
    <s v="index"/>
  </r>
  <r>
    <x v="1"/>
    <x v="6"/>
    <n v="3314.8641466651802"/>
    <n v="2193.6546918735398"/>
    <n v="5009.14038638482"/>
    <n v="8.1061719203820708"/>
    <n v="0.210640441695851"/>
    <n v="3314.8641466651802"/>
    <s v="index"/>
  </r>
  <r>
    <x v="1"/>
    <x v="7"/>
    <n v="4920.4452756042901"/>
    <n v="3408.63193496434"/>
    <n v="7102.7855668053699"/>
    <n v="8.5011543085627892"/>
    <n v="0.18729324302508599"/>
    <n v="4920.4452756042901"/>
    <s v="index"/>
  </r>
  <r>
    <x v="1"/>
    <x v="8"/>
    <n v="6734.0661463402803"/>
    <n v="4713.9038676218197"/>
    <n v="9619.97701623988"/>
    <n v="8.8149344224141295"/>
    <n v="0.18197412548997"/>
    <n v="6734.0661463402803"/>
    <s v="index"/>
  </r>
  <r>
    <x v="1"/>
    <x v="9"/>
    <n v="8936.2061706463501"/>
    <n v="6056.8488730830904"/>
    <n v="13184.377288854001"/>
    <n v="9.0978664123994406"/>
    <n v="0.198432960801597"/>
    <n v="8936.2061706463392"/>
    <s v="index"/>
  </r>
  <r>
    <x v="1"/>
    <x v="10"/>
    <n v="8831.9576472986191"/>
    <n v="5670.4910071308695"/>
    <n v="13756.035550639999"/>
    <n v="9.0861319731361103"/>
    <n v="0.226076084193992"/>
    <n v="8831.95764729861"/>
    <s v="index"/>
  </r>
  <r>
    <x v="1"/>
    <x v="11"/>
    <n v="10739.918389964399"/>
    <n v="7382.0894132575804"/>
    <n v="15625.094816102401"/>
    <n v="9.2817227693342108"/>
    <n v="0.19128452177682001"/>
    <n v="10739.918389964399"/>
    <s v="index"/>
  </r>
  <r>
    <x v="1"/>
    <x v="12"/>
    <n v="7310.8859847576196"/>
    <n v="4951.2611343550898"/>
    <n v="10795.0383612896"/>
    <n v="8.8971197471447105"/>
    <n v="0.19884148509279201"/>
    <n v="7310.8859847576095"/>
    <s v="index"/>
  </r>
  <r>
    <x v="1"/>
    <x v="13"/>
    <n v="6498.22154206905"/>
    <n v="4029.2308218522899"/>
    <n v="10480.135062204799"/>
    <n v="8.7792838095335295"/>
    <n v="0.24385807068061"/>
    <n v="6498.22154206906"/>
    <s v="index"/>
  </r>
  <r>
    <x v="1"/>
    <x v="14"/>
    <n v="6452.9108165889502"/>
    <n v="4083.8980071044102"/>
    <n v="10196.155225819301"/>
    <n v="8.7722865973830206"/>
    <n v="0.233412142158471"/>
    <n v="6452.9108165889502"/>
    <s v="index"/>
  </r>
  <r>
    <x v="1"/>
    <x v="15"/>
    <n v="5757.47373932757"/>
    <n v="3561.33763598003"/>
    <n v="9307.8801414807804"/>
    <n v="8.6582540705602593"/>
    <n v="0.24508745090836501"/>
    <n v="5757.47373932757"/>
    <s v="index"/>
  </r>
  <r>
    <x v="1"/>
    <x v="16"/>
    <n v="5640.4837816672198"/>
    <n v="3485.6262382865998"/>
    <n v="9127.5010905615709"/>
    <n v="8.6377251177048304"/>
    <n v="0.24557702034446899"/>
    <n v="5640.4837816672198"/>
    <s v="index"/>
  </r>
  <r>
    <x v="1"/>
    <x v="17"/>
    <n v="7478.6748005790096"/>
    <n v="4948.1485204267301"/>
    <n v="11303.3342758257"/>
    <n v="8.9198108895748298"/>
    <n v="0.21073965823686799"/>
    <n v="7478.6748005790096"/>
    <s v="index"/>
  </r>
  <r>
    <x v="1"/>
    <x v="18"/>
    <n v="6716.0177381374597"/>
    <n v="4260.5930441076298"/>
    <n v="10586.529572768401"/>
    <n v="8.8122506593698606"/>
    <n v="0.23219152043272101"/>
    <n v="6716.0177381374597"/>
    <s v="index"/>
  </r>
  <r>
    <x v="1"/>
    <x v="19"/>
    <n v="7605.8092478476901"/>
    <n v="5233.5673914999797"/>
    <n v="11053.327489123199"/>
    <n v="8.9366676090056494"/>
    <n v="0.190727577545132"/>
    <n v="7605.8092478476901"/>
    <s v="index"/>
  </r>
  <r>
    <x v="1"/>
    <x v="20"/>
    <n v="14550.881910776599"/>
    <n v="10057.762655111301"/>
    <n v="21051.2190078147"/>
    <n v="9.5854068831872894"/>
    <n v="0.18842533192932101"/>
    <n v="14550.881910776599"/>
    <s v="index"/>
  </r>
  <r>
    <x v="1"/>
    <x v="21"/>
    <n v="18268.315405752299"/>
    <n v="12614.283123416501"/>
    <n v="26456.624169512001"/>
    <n v="9.8129234396338596"/>
    <n v="0.18895163911683699"/>
    <n v="18268.315405752299"/>
    <s v="index"/>
  </r>
  <r>
    <x v="2"/>
    <x v="0"/>
    <n v="7086.0443230903802"/>
    <n v="4785.0972630630704"/>
    <n v="10493.4176649649"/>
    <n v="8.8658825404284904"/>
    <n v="0.200320471797447"/>
    <n v="7086.0443230903802"/>
    <s v="index"/>
  </r>
  <r>
    <x v="2"/>
    <x v="1"/>
    <n v="6496.08824450881"/>
    <n v="4542.7243683935303"/>
    <n v="9289.3953183800004"/>
    <n v="8.7789554661871794"/>
    <n v="0.18248971756920501"/>
    <n v="6496.08824450882"/>
    <s v="index"/>
  </r>
  <r>
    <x v="2"/>
    <x v="2"/>
    <n v="5157.5701320935896"/>
    <n v="3612.04556668535"/>
    <n v="7364.3948218167898"/>
    <n v="8.5482208429321798"/>
    <n v="0.18173360119016099"/>
    <n v="5157.5701320935896"/>
    <s v="index"/>
  </r>
  <r>
    <x v="2"/>
    <x v="3"/>
    <n v="8186.5722900589399"/>
    <n v="5862.7041842189901"/>
    <n v="11431.5789701215"/>
    <n v="9.0102505654392608"/>
    <n v="0.170352275378641"/>
    <n v="8186.5722900589499"/>
    <s v="index"/>
  </r>
  <r>
    <x v="2"/>
    <x v="4"/>
    <n v="4384.3495992205499"/>
    <n v="3127.8013445537799"/>
    <n v="6145.6976612840999"/>
    <n v="8.3857965697961898"/>
    <n v="0.172304685997267"/>
    <n v="4384.3495992205499"/>
    <s v="index"/>
  </r>
  <r>
    <x v="2"/>
    <x v="5"/>
    <n v="4713.94599722567"/>
    <n v="3317.3021149879701"/>
    <n v="6698.6020852190204"/>
    <n v="8.4582806276022193"/>
    <n v="0.17927549423462999"/>
    <n v="4713.94599722567"/>
    <s v="index"/>
  </r>
  <r>
    <x v="2"/>
    <x v="6"/>
    <n v="3337.5059705742101"/>
    <n v="2312.9070997001099"/>
    <n v="4815.9937357893796"/>
    <n v="8.112979091643"/>
    <n v="0.18710476188810399"/>
    <n v="3337.5059705742101"/>
    <s v="index"/>
  </r>
  <r>
    <x v="2"/>
    <x v="7"/>
    <n v="3610.0851851986499"/>
    <n v="2576.8155909787401"/>
    <n v="5057.6824705723802"/>
    <n v="8.1914866480564594"/>
    <n v="0.172032242529887"/>
    <n v="3610.0851851986499"/>
    <s v="index"/>
  </r>
  <r>
    <x v="2"/>
    <x v="8"/>
    <n v="5714.7068893068499"/>
    <n v="4050.2641782620999"/>
    <n v="8063.1468450791399"/>
    <n v="8.6507982869533304"/>
    <n v="0.175646543760521"/>
    <n v="5714.7068893068499"/>
    <s v="index"/>
  </r>
  <r>
    <x v="2"/>
    <x v="9"/>
    <n v="5434.9385625222203"/>
    <n v="3797.86826128037"/>
    <n v="7777.6676667643897"/>
    <n v="8.60060349544767"/>
    <n v="0.182864733150293"/>
    <n v="5434.9385625222103"/>
    <s v="index"/>
  </r>
  <r>
    <x v="2"/>
    <x v="10"/>
    <n v="7384.6992540423398"/>
    <n v="5061.1382547281401"/>
    <n v="10775.003631190601"/>
    <n v="8.9071654702421803"/>
    <n v="0.19276822671811999"/>
    <n v="7384.6992540423398"/>
    <s v="index"/>
  </r>
  <r>
    <x v="2"/>
    <x v="11"/>
    <n v="6401.3532111102104"/>
    <n v="4511.3011970673397"/>
    <n v="9083.2602709012499"/>
    <n v="8.7642646862336093"/>
    <n v="0.17853582226355699"/>
    <n v="6401.3532111102204"/>
    <s v="index"/>
  </r>
  <r>
    <x v="2"/>
    <x v="12"/>
    <n v="5336.6485739970403"/>
    <n v="3702.24174948065"/>
    <n v="7692.5873374799903"/>
    <n v="8.5823531270602604"/>
    <n v="0.186564312683457"/>
    <n v="5336.6485739970403"/>
    <s v="index"/>
  </r>
  <r>
    <x v="2"/>
    <x v="13"/>
    <n v="9583.6246892115396"/>
    <n v="6797.6832466903497"/>
    <n v="13511.3477416564"/>
    <n v="9.1678111594477496"/>
    <n v="0.175245069838046"/>
    <n v="9583.6246892115505"/>
    <s v="index"/>
  </r>
  <r>
    <x v="2"/>
    <x v="14"/>
    <n v="7486.2201633582599"/>
    <n v="5288.0149263149497"/>
    <n v="10598.2099360916"/>
    <n v="8.9208192980450303"/>
    <n v="0.177360959988388"/>
    <n v="7486.2201633582499"/>
    <s v="index"/>
  </r>
  <r>
    <x v="2"/>
    <x v="15"/>
    <n v="9145.0357004313792"/>
    <n v="6382.49510928981"/>
    <n v="13103.289000635101"/>
    <n v="9.1209664646370694"/>
    <n v="0.183499331940459"/>
    <n v="9145.0357004313901"/>
    <s v="index"/>
  </r>
  <r>
    <x v="2"/>
    <x v="16"/>
    <n v="4592.9612952550997"/>
    <n v="3022.2649991091598"/>
    <n v="6979.9615407415904"/>
    <n v="8.4322802573917706"/>
    <n v="0.21353373415444499"/>
    <n v="4592.9612952550997"/>
    <s v="index"/>
  </r>
  <r>
    <x v="2"/>
    <x v="17"/>
    <n v="4506.0309572054703"/>
    <n v="3237.21847992119"/>
    <n v="6272.1484858780204"/>
    <n v="8.4131719911872906"/>
    <n v="0.168728735618525"/>
    <n v="4506.0309572054803"/>
    <s v="index"/>
  </r>
  <r>
    <x v="2"/>
    <x v="18"/>
    <n v="3602.6796167398702"/>
    <n v="2622.3080160229802"/>
    <n v="4949.5712714013898"/>
    <n v="8.1894331855453704"/>
    <n v="0.162055556598801"/>
    <n v="3602.6796167398602"/>
    <s v="index"/>
  </r>
  <r>
    <x v="2"/>
    <x v="19"/>
    <n v="4160.84230778644"/>
    <n v="2899.10545799698"/>
    <n v="5971.7071217640396"/>
    <n v="8.3334728105927205"/>
    <n v="0.18434793078456799"/>
    <n v="4160.84230778643"/>
    <s v="index"/>
  </r>
  <r>
    <x v="2"/>
    <x v="20"/>
    <n v="5273.5747851265496"/>
    <n v="3870.5539321225801"/>
    <n v="7185.1707796954497"/>
    <n v="8.5704637389238894"/>
    <n v="0.15781454693417499"/>
    <n v="5273.5747851265496"/>
    <s v="index"/>
  </r>
  <r>
    <x v="2"/>
    <x v="21"/>
    <n v="4806.42657399785"/>
    <n v="3449.8933049416801"/>
    <n v="6696.3625739211802"/>
    <n v="8.4777091709921901"/>
    <n v="0.169192184226125"/>
    <n v="4806.42657399785"/>
    <s v="index"/>
  </r>
  <r>
    <x v="3"/>
    <x v="0"/>
    <n v="12617.818493651899"/>
    <n v="6851.8255618189996"/>
    <n v="23236.0474011365"/>
    <n v="9.4428652601111693"/>
    <n v="0.31153371378372602"/>
    <n v="12617.818493651899"/>
    <s v="index"/>
  </r>
  <r>
    <x v="3"/>
    <x v="1"/>
    <n v="13771.1436320263"/>
    <n v="8003.8532635777601"/>
    <n v="23694.137147277699"/>
    <n v="9.5303306407087707"/>
    <n v="0.27686849469679298"/>
    <n v="13771.1436320263"/>
    <s v="index"/>
  </r>
  <r>
    <x v="3"/>
    <x v="2"/>
    <n v="11918.9155884541"/>
    <n v="7076.6395245117701"/>
    <n v="20074.5775325465"/>
    <n v="9.3858819623579706"/>
    <n v="0.26598832217926299"/>
    <n v="11918.9155884541"/>
    <s v="index"/>
  </r>
  <r>
    <x v="3"/>
    <x v="3"/>
    <n v="10156.1024426535"/>
    <n v="6160.9663883144603"/>
    <n v="16741.921692887601"/>
    <n v="9.2258300296832605"/>
    <n v="0.255025657707525"/>
    <n v="10156.102442653601"/>
    <s v="index"/>
  </r>
  <r>
    <x v="3"/>
    <x v="4"/>
    <n v="5390.3283931817396"/>
    <n v="3144.8278713517602"/>
    <n v="9239.1829934565103"/>
    <n v="8.5923615884259092"/>
    <n v="0.27492706801209499"/>
    <n v="5390.3283931817296"/>
    <s v="index"/>
  </r>
  <r>
    <x v="3"/>
    <x v="5"/>
    <n v="4355.0128142302501"/>
    <n v="2494.6184530137198"/>
    <n v="7602.8206194005097"/>
    <n v="8.3790828317002397"/>
    <n v="0.28428673396432103"/>
    <n v="4355.0128142302501"/>
    <s v="index"/>
  </r>
  <r>
    <x v="3"/>
    <x v="6"/>
    <n v="5966.01707493501"/>
    <n v="3425.6627892215702"/>
    <n v="10390.2111586716"/>
    <n v="8.6938348271113295"/>
    <n v="0.28305855842837901"/>
    <n v="5966.01707493501"/>
    <s v="index"/>
  </r>
  <r>
    <x v="3"/>
    <x v="7"/>
    <n v="4894.23798681876"/>
    <n v="2659.4453054643"/>
    <n v="9006.9780425274803"/>
    <n v="8.4958138711036604"/>
    <n v="0.31120011779051299"/>
    <n v="4894.23798681876"/>
    <s v="index"/>
  </r>
  <r>
    <x v="3"/>
    <x v="8"/>
    <n v="7581.9679950825903"/>
    <n v="3789.89524824315"/>
    <n v="15168.292238447801"/>
    <n v="8.93352807489652"/>
    <n v="0.35379957063380202"/>
    <n v="7581.9679950826003"/>
    <s v="index"/>
  </r>
  <r>
    <x v="3"/>
    <x v="9"/>
    <n v="11103.6437699527"/>
    <n v="5901.1749932111097"/>
    <n v="20892.602763322"/>
    <n v="9.3150286009957206"/>
    <n v="0.32251706894835902"/>
    <n v="11103.6437699527"/>
    <s v="index"/>
  </r>
  <r>
    <x v="3"/>
    <x v="10"/>
    <n v="13828.749982425399"/>
    <n v="7184.9319007372296"/>
    <n v="26616.024858469202"/>
    <n v="9.5345050360782508"/>
    <n v="0.33406925879835297"/>
    <n v="13828.749982425399"/>
    <s v="index"/>
  </r>
  <r>
    <x v="3"/>
    <x v="11"/>
    <n v="15121.711527839399"/>
    <n v="8524.2976558055198"/>
    <n v="26825.219949406299"/>
    <n v="9.6238868396129806"/>
    <n v="0.292459928749917"/>
    <n v="15121.711527839399"/>
    <s v="index"/>
  </r>
  <r>
    <x v="3"/>
    <x v="12"/>
    <n v="11804.1525502146"/>
    <n v="6534.0923787060601"/>
    <n v="21324.770045006699"/>
    <n v="9.3762066595827296"/>
    <n v="0.30174938622928099"/>
    <n v="11804.1525502146"/>
    <s v="index"/>
  </r>
  <r>
    <x v="3"/>
    <x v="13"/>
    <n v="13423.590840507"/>
    <n v="7709.6604633711304"/>
    <n v="23372.3381087204"/>
    <n v="9.5047689485424591"/>
    <n v="0.28293352622915902"/>
    <n v="13423.590840507"/>
    <s v="index"/>
  </r>
  <r>
    <x v="3"/>
    <x v="14"/>
    <n v="14990.629967790701"/>
    <n v="8529.6397294676899"/>
    <n v="26345.659835418399"/>
    <n v="9.6151806160835402"/>
    <n v="0.28769825192651299"/>
    <n v="14990.629967790701"/>
    <s v="index"/>
  </r>
  <r>
    <x v="3"/>
    <x v="15"/>
    <n v="15884.2222533687"/>
    <n v="9044.6924256638104"/>
    <n v="27895.754186013299"/>
    <n v="9.6730815844328202"/>
    <n v="0.28732578584370999"/>
    <n v="15884.2222533687"/>
    <s v="index"/>
  </r>
  <r>
    <x v="3"/>
    <x v="16"/>
    <n v="7071.6575229876598"/>
    <n v="3731.3997820087902"/>
    <n v="13402.032224889699"/>
    <n v="8.8638501759654993"/>
    <n v="0.32618530855218097"/>
    <n v="7071.6575229876698"/>
    <s v="index"/>
  </r>
  <r>
    <x v="3"/>
    <x v="17"/>
    <n v="7400.1951402466502"/>
    <n v="4374.4832323641704"/>
    <n v="12518.710257836299"/>
    <n v="8.9092616491481706"/>
    <n v="0.26822838572368402"/>
    <n v="7400.1951402466502"/>
    <s v="index"/>
  </r>
  <r>
    <x v="3"/>
    <x v="18"/>
    <n v="4261.7780442466001"/>
    <n v="2454.7290429572399"/>
    <n v="7399.0863270764403"/>
    <n v="8.3574417334626201"/>
    <n v="0.28146949288057499"/>
    <n v="4261.7780442466001"/>
    <s v="index"/>
  </r>
  <r>
    <x v="3"/>
    <x v="19"/>
    <n v="6017.1725116179496"/>
    <n v="3473.2434614152498"/>
    <n v="10424.367147535801"/>
    <n v="8.7023727455120206"/>
    <n v="0.28037688364409102"/>
    <n v="6017.1725116179496"/>
    <s v="index"/>
  </r>
  <r>
    <x v="3"/>
    <x v="20"/>
    <n v="7635.7432475855003"/>
    <n v="4195.47197515683"/>
    <n v="13897.0240507608"/>
    <n v="8.9405955603392098"/>
    <n v="0.305533389140562"/>
    <n v="7635.7432475855003"/>
    <s v="index"/>
  </r>
  <r>
    <x v="3"/>
    <x v="21"/>
    <n v="8217.9258872490009"/>
    <n v="4545.9475973530998"/>
    <n v="14855.9358510071"/>
    <n v="9.0140731310586908"/>
    <n v="0.30208802742395202"/>
    <n v="8217.9258872490009"/>
    <s v="index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P3:U27" firstHeaderRow="1" firstDataRow="2" firstDataCol="1"/>
  <pivotFields count="9">
    <pivotField axis="axisCol" showAll="0">
      <items count="5">
        <item x="3"/>
        <item x="0"/>
        <item x="2"/>
        <item x="1"/>
        <item t="default"/>
      </items>
    </pivotField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est" fld="2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9"/>
  <sheetViews>
    <sheetView tabSelected="1" workbookViewId="0">
      <selection activeCell="AK24" sqref="AK24"/>
    </sheetView>
  </sheetViews>
  <sheetFormatPr defaultRowHeight="15" x14ac:dyDescent="0.25"/>
  <cols>
    <col min="16" max="16" width="12.7109375" bestFit="1" customWidth="1"/>
    <col min="17" max="17" width="15.28515625" bestFit="1" customWidth="1"/>
    <col min="18" max="21" width="11.85546875" bestFit="1" customWidth="1"/>
  </cols>
  <sheetData>
    <row r="1" spans="1:2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21" x14ac:dyDescent="0.25">
      <c r="A2">
        <v>1</v>
      </c>
      <c r="B2" t="s">
        <v>9</v>
      </c>
      <c r="C2">
        <v>2003</v>
      </c>
      <c r="D2">
        <v>27361.9884807495</v>
      </c>
      <c r="E2">
        <v>19121.699597659201</v>
      </c>
      <c r="F2">
        <v>39153.340412915801</v>
      </c>
      <c r="G2">
        <v>10.2169100474855</v>
      </c>
      <c r="H2">
        <v>0.18282528483492499</v>
      </c>
      <c r="I2">
        <v>27361.9884807495</v>
      </c>
      <c r="J2" t="s">
        <v>10</v>
      </c>
    </row>
    <row r="3" spans="1:21" x14ac:dyDescent="0.25">
      <c r="A3">
        <v>2</v>
      </c>
      <c r="B3" t="s">
        <v>9</v>
      </c>
      <c r="C3">
        <v>2004</v>
      </c>
      <c r="D3">
        <v>25761.9670669691</v>
      </c>
      <c r="E3">
        <v>17966.752002406702</v>
      </c>
      <c r="F3">
        <v>36939.283576168898</v>
      </c>
      <c r="G3">
        <v>10.1566545385983</v>
      </c>
      <c r="H3">
        <v>0.183868848383476</v>
      </c>
      <c r="I3">
        <v>25761.9670669691</v>
      </c>
      <c r="J3" t="s">
        <v>10</v>
      </c>
      <c r="P3" s="1" t="s">
        <v>17</v>
      </c>
      <c r="Q3" s="1" t="s">
        <v>14</v>
      </c>
    </row>
    <row r="4" spans="1:21" x14ac:dyDescent="0.25">
      <c r="A4">
        <v>3</v>
      </c>
      <c r="B4" t="s">
        <v>9</v>
      </c>
      <c r="C4">
        <v>2005</v>
      </c>
      <c r="D4">
        <v>21454.168186149702</v>
      </c>
      <c r="E4">
        <v>15110.8364179038</v>
      </c>
      <c r="F4">
        <v>30460.3477815591</v>
      </c>
      <c r="G4">
        <v>9.9736742265108997</v>
      </c>
      <c r="H4">
        <v>0.178833295043103</v>
      </c>
      <c r="I4">
        <v>21454.168186149702</v>
      </c>
      <c r="J4" t="s">
        <v>10</v>
      </c>
      <c r="P4" s="1" t="s">
        <v>16</v>
      </c>
      <c r="Q4" t="s">
        <v>13</v>
      </c>
      <c r="R4" t="s">
        <v>9</v>
      </c>
      <c r="S4" t="s">
        <v>12</v>
      </c>
      <c r="T4" t="s">
        <v>11</v>
      </c>
      <c r="U4" t="s">
        <v>15</v>
      </c>
    </row>
    <row r="5" spans="1:21" x14ac:dyDescent="0.25">
      <c r="A5">
        <v>4</v>
      </c>
      <c r="B5" t="s">
        <v>9</v>
      </c>
      <c r="C5">
        <v>2006</v>
      </c>
      <c r="D5">
        <v>24475.3020136837</v>
      </c>
      <c r="E5">
        <v>18021.957454281801</v>
      </c>
      <c r="F5">
        <v>33239.475244610803</v>
      </c>
      <c r="G5">
        <v>10.1054198070032</v>
      </c>
      <c r="H5">
        <v>0.15616289757920199</v>
      </c>
      <c r="I5">
        <v>24475.3020136837</v>
      </c>
      <c r="J5" t="s">
        <v>10</v>
      </c>
      <c r="P5" s="2">
        <v>2003</v>
      </c>
      <c r="Q5" s="3">
        <v>12617.818493651899</v>
      </c>
      <c r="R5" s="3">
        <v>27361.9884807495</v>
      </c>
      <c r="S5" s="3">
        <v>7086.0443230903802</v>
      </c>
      <c r="T5" s="3">
        <v>7658.1256640070696</v>
      </c>
      <c r="U5" s="3">
        <v>13680.994240374714</v>
      </c>
    </row>
    <row r="6" spans="1:21" x14ac:dyDescent="0.25">
      <c r="A6">
        <v>5</v>
      </c>
      <c r="B6" t="s">
        <v>9</v>
      </c>
      <c r="C6">
        <v>2007</v>
      </c>
      <c r="D6">
        <v>14149.8591438313</v>
      </c>
      <c r="E6">
        <v>10428.6119287249</v>
      </c>
      <c r="F6">
        <v>19198.9610082986</v>
      </c>
      <c r="G6">
        <v>9.5574599485222809</v>
      </c>
      <c r="H6">
        <v>0.15569239857734499</v>
      </c>
      <c r="I6">
        <v>14149.8591438313</v>
      </c>
      <c r="J6" t="s">
        <v>10</v>
      </c>
      <c r="P6" s="2">
        <v>2004</v>
      </c>
      <c r="Q6" s="3">
        <v>13771.1436320263</v>
      </c>
      <c r="R6" s="3">
        <v>25761.9670669691</v>
      </c>
      <c r="S6" s="3">
        <v>6496.08824450881</v>
      </c>
      <c r="T6" s="3">
        <v>5494.7351904339503</v>
      </c>
      <c r="U6" s="3">
        <v>12880.983533484539</v>
      </c>
    </row>
    <row r="7" spans="1:21" x14ac:dyDescent="0.25">
      <c r="A7">
        <v>6</v>
      </c>
      <c r="B7" t="s">
        <v>9</v>
      </c>
      <c r="C7">
        <v>2008</v>
      </c>
      <c r="D7">
        <v>13360.310272852001</v>
      </c>
      <c r="E7">
        <v>9948.4700814675307</v>
      </c>
      <c r="F7">
        <v>17942.245302560601</v>
      </c>
      <c r="G7">
        <v>9.5000436708368294</v>
      </c>
      <c r="H7">
        <v>0.15044644467398399</v>
      </c>
      <c r="I7">
        <v>13360.310272852001</v>
      </c>
      <c r="J7" t="s">
        <v>10</v>
      </c>
      <c r="P7" s="2">
        <v>2005</v>
      </c>
      <c r="Q7" s="3">
        <v>11918.9155884541</v>
      </c>
      <c r="R7" s="3">
        <v>21454.168186149702</v>
      </c>
      <c r="S7" s="3">
        <v>5157.5701320935896</v>
      </c>
      <c r="T7" s="3">
        <v>4377.6824656018998</v>
      </c>
      <c r="U7" s="3">
        <v>10727.084093074824</v>
      </c>
    </row>
    <row r="8" spans="1:21" x14ac:dyDescent="0.25">
      <c r="A8">
        <v>7</v>
      </c>
      <c r="B8" t="s">
        <v>9</v>
      </c>
      <c r="C8">
        <v>2009</v>
      </c>
      <c r="D8">
        <v>12618.387192174499</v>
      </c>
      <c r="E8">
        <v>9007.8074723237296</v>
      </c>
      <c r="F8">
        <v>17676.187665072201</v>
      </c>
      <c r="G8">
        <v>9.4429103301609008</v>
      </c>
      <c r="H8">
        <v>0.17197425852433301</v>
      </c>
      <c r="I8">
        <v>12618.387192174499</v>
      </c>
      <c r="J8" t="s">
        <v>10</v>
      </c>
      <c r="P8" s="2">
        <v>2006</v>
      </c>
      <c r="Q8" s="3">
        <v>10156.1024426535</v>
      </c>
      <c r="R8" s="3">
        <v>24475.3020136837</v>
      </c>
      <c r="S8" s="3">
        <v>8186.5722900589399</v>
      </c>
      <c r="T8" s="3">
        <v>6132.62728097114</v>
      </c>
      <c r="U8" s="3">
        <v>12237.651006841819</v>
      </c>
    </row>
    <row r="9" spans="1:21" x14ac:dyDescent="0.25">
      <c r="A9">
        <v>8</v>
      </c>
      <c r="B9" t="s">
        <v>9</v>
      </c>
      <c r="C9">
        <v>2010</v>
      </c>
      <c r="D9">
        <v>13424.7684476217</v>
      </c>
      <c r="E9">
        <v>9870.8014466036802</v>
      </c>
      <c r="F9">
        <v>18258.3358450868</v>
      </c>
      <c r="G9">
        <v>9.50485667137891</v>
      </c>
      <c r="H9">
        <v>0.156901016758385</v>
      </c>
      <c r="I9">
        <v>13424.7684476217</v>
      </c>
      <c r="J9" t="s">
        <v>10</v>
      </c>
      <c r="P9" s="2">
        <v>2007</v>
      </c>
      <c r="Q9" s="3">
        <v>5390.3283931817396</v>
      </c>
      <c r="R9" s="3">
        <v>14149.8591438313</v>
      </c>
      <c r="S9" s="3">
        <v>4384.3495992205499</v>
      </c>
      <c r="T9" s="3">
        <v>4375.1811514290002</v>
      </c>
      <c r="U9" s="3">
        <v>7074.9295719156471</v>
      </c>
    </row>
    <row r="10" spans="1:21" x14ac:dyDescent="0.25">
      <c r="A10">
        <v>9</v>
      </c>
      <c r="B10" t="s">
        <v>9</v>
      </c>
      <c r="C10">
        <v>2011</v>
      </c>
      <c r="D10">
        <v>20030.741030729801</v>
      </c>
      <c r="E10">
        <v>14281.9432578414</v>
      </c>
      <c r="F10">
        <v>28093.556947852299</v>
      </c>
      <c r="G10">
        <v>9.9050234240179496</v>
      </c>
      <c r="H10">
        <v>0.17259098512478599</v>
      </c>
      <c r="I10">
        <v>20030.741030729801</v>
      </c>
      <c r="J10" t="s">
        <v>10</v>
      </c>
      <c r="P10" s="2">
        <v>2008</v>
      </c>
      <c r="Q10" s="3">
        <v>4355.0128142302501</v>
      </c>
      <c r="R10" s="3">
        <v>13360.310272852001</v>
      </c>
      <c r="S10" s="3">
        <v>4713.94599722567</v>
      </c>
      <c r="T10" s="3">
        <v>4291.3514613961597</v>
      </c>
      <c r="U10" s="3">
        <v>6680.1551364260204</v>
      </c>
    </row>
    <row r="11" spans="1:21" x14ac:dyDescent="0.25">
      <c r="A11">
        <v>10</v>
      </c>
      <c r="B11" t="s">
        <v>9</v>
      </c>
      <c r="C11">
        <v>2012</v>
      </c>
      <c r="D11">
        <v>25474.788503121199</v>
      </c>
      <c r="E11">
        <v>17950.659606641799</v>
      </c>
      <c r="F11">
        <v>36152.702101188399</v>
      </c>
      <c r="G11">
        <v>10.1454445559219</v>
      </c>
      <c r="H11">
        <v>0.17860655530087199</v>
      </c>
      <c r="I11">
        <v>25474.788503121301</v>
      </c>
      <c r="J11" t="s">
        <v>10</v>
      </c>
      <c r="P11" s="2">
        <v>2009</v>
      </c>
      <c r="Q11" s="3">
        <v>5966.01707493501</v>
      </c>
      <c r="R11" s="3">
        <v>12618.387192174499</v>
      </c>
      <c r="S11" s="3">
        <v>3337.5059705742101</v>
      </c>
      <c r="T11" s="3">
        <v>3314.8641466651802</v>
      </c>
      <c r="U11" s="3">
        <v>6309.1935960872243</v>
      </c>
    </row>
    <row r="12" spans="1:21" x14ac:dyDescent="0.25">
      <c r="A12">
        <v>11</v>
      </c>
      <c r="B12" t="s">
        <v>9</v>
      </c>
      <c r="C12">
        <v>2013</v>
      </c>
      <c r="D12">
        <v>30045.406883766402</v>
      </c>
      <c r="E12">
        <v>20479.4311374834</v>
      </c>
      <c r="F12">
        <v>44079.665531276398</v>
      </c>
      <c r="G12">
        <v>10.310465079154801</v>
      </c>
      <c r="H12">
        <v>0.19555909185095</v>
      </c>
      <c r="I12">
        <v>30045.406883766402</v>
      </c>
      <c r="J12" t="s">
        <v>10</v>
      </c>
      <c r="P12" s="2">
        <v>2010</v>
      </c>
      <c r="Q12" s="3">
        <v>4894.23798681876</v>
      </c>
      <c r="R12" s="3">
        <v>13424.7684476217</v>
      </c>
      <c r="S12" s="3">
        <v>3610.0851851986499</v>
      </c>
      <c r="T12" s="3">
        <v>4920.4452756042901</v>
      </c>
      <c r="U12" s="3">
        <v>6712.38422381085</v>
      </c>
    </row>
    <row r="13" spans="1:21" x14ac:dyDescent="0.25">
      <c r="A13">
        <v>12</v>
      </c>
      <c r="B13" t="s">
        <v>9</v>
      </c>
      <c r="C13">
        <v>2014</v>
      </c>
      <c r="D13">
        <v>32262.983128914198</v>
      </c>
      <c r="E13">
        <v>23077.400665245099</v>
      </c>
      <c r="F13">
        <v>45104.736684847398</v>
      </c>
      <c r="G13">
        <v>10.381675818852001</v>
      </c>
      <c r="H13">
        <v>0.17095555328485099</v>
      </c>
      <c r="I13">
        <v>32262.983128914198</v>
      </c>
      <c r="J13" t="s">
        <v>10</v>
      </c>
      <c r="P13" s="2">
        <v>2011</v>
      </c>
      <c r="Q13" s="3">
        <v>7581.9679950825903</v>
      </c>
      <c r="R13" s="3">
        <v>20030.741030729801</v>
      </c>
      <c r="S13" s="3">
        <v>5714.7068893068499</v>
      </c>
      <c r="T13" s="3">
        <v>6734.0661463402803</v>
      </c>
      <c r="U13" s="3">
        <v>10015.370515364881</v>
      </c>
    </row>
    <row r="14" spans="1:21" x14ac:dyDescent="0.25">
      <c r="A14">
        <v>13</v>
      </c>
      <c r="B14" t="s">
        <v>9</v>
      </c>
      <c r="C14">
        <v>2015</v>
      </c>
      <c r="D14">
        <v>24451.6871089694</v>
      </c>
      <c r="E14">
        <v>17162.369956757298</v>
      </c>
      <c r="F14">
        <v>34836.9720488128</v>
      </c>
      <c r="G14">
        <v>10.1044544949343</v>
      </c>
      <c r="H14">
        <v>0.18060537073771299</v>
      </c>
      <c r="I14">
        <v>24451.6871089694</v>
      </c>
      <c r="J14" t="s">
        <v>10</v>
      </c>
      <c r="P14" s="2">
        <v>2012</v>
      </c>
      <c r="Q14" s="3">
        <v>11103.6437699527</v>
      </c>
      <c r="R14" s="3">
        <v>25474.788503121199</v>
      </c>
      <c r="S14" s="3">
        <v>5434.9385625222203</v>
      </c>
      <c r="T14" s="3">
        <v>8936.2061706463501</v>
      </c>
      <c r="U14" s="3">
        <v>12737.394251560618</v>
      </c>
    </row>
    <row r="15" spans="1:21" x14ac:dyDescent="0.25">
      <c r="A15">
        <v>14</v>
      </c>
      <c r="B15" t="s">
        <v>9</v>
      </c>
      <c r="C15">
        <v>2016</v>
      </c>
      <c r="D15">
        <v>29505.437071787601</v>
      </c>
      <c r="E15">
        <v>21133.4596975856</v>
      </c>
      <c r="F15">
        <v>41193.956373204703</v>
      </c>
      <c r="G15">
        <v>10.292329832863601</v>
      </c>
      <c r="H15">
        <v>0.17026690509395001</v>
      </c>
      <c r="I15">
        <v>29505.437071787601</v>
      </c>
      <c r="J15" t="s">
        <v>10</v>
      </c>
      <c r="P15" s="2">
        <v>2013</v>
      </c>
      <c r="Q15" s="3">
        <v>13828.749982425399</v>
      </c>
      <c r="R15" s="3">
        <v>30045.406883766402</v>
      </c>
      <c r="S15" s="3">
        <v>7384.6992540423398</v>
      </c>
      <c r="T15" s="3">
        <v>8831.9576472986191</v>
      </c>
      <c r="U15" s="3">
        <v>15022.70344188319</v>
      </c>
    </row>
    <row r="16" spans="1:21" x14ac:dyDescent="0.25">
      <c r="A16">
        <v>15</v>
      </c>
      <c r="B16" t="s">
        <v>9</v>
      </c>
      <c r="C16">
        <v>2017</v>
      </c>
      <c r="D16">
        <v>28929.760947737799</v>
      </c>
      <c r="E16">
        <v>20283.144860042601</v>
      </c>
      <c r="F16">
        <v>41262.391718258499</v>
      </c>
      <c r="G16">
        <v>10.2726261348091</v>
      </c>
      <c r="H16">
        <v>0.181166909153958</v>
      </c>
      <c r="I16">
        <v>28929.760947737901</v>
      </c>
      <c r="J16" t="s">
        <v>10</v>
      </c>
      <c r="P16" s="2">
        <v>2014</v>
      </c>
      <c r="Q16" s="3">
        <v>15121.711527839399</v>
      </c>
      <c r="R16" s="3">
        <v>32262.983128914198</v>
      </c>
      <c r="S16" s="3">
        <v>6401.3532111102104</v>
      </c>
      <c r="T16" s="3">
        <v>10739.918389964399</v>
      </c>
      <c r="U16" s="3">
        <v>16131.491564457052</v>
      </c>
    </row>
    <row r="17" spans="1:25" x14ac:dyDescent="0.25">
      <c r="A17">
        <v>16</v>
      </c>
      <c r="B17" t="s">
        <v>9</v>
      </c>
      <c r="C17">
        <v>2018</v>
      </c>
      <c r="D17">
        <v>30786.731693127698</v>
      </c>
      <c r="E17">
        <v>21574.416695286702</v>
      </c>
      <c r="F17">
        <v>43932.721877560798</v>
      </c>
      <c r="G17">
        <v>10.3348390869612</v>
      </c>
      <c r="H17">
        <v>0.181419459908161</v>
      </c>
      <c r="I17">
        <v>30786.731693127698</v>
      </c>
      <c r="J17" t="s">
        <v>10</v>
      </c>
      <c r="P17" s="2">
        <v>2015</v>
      </c>
      <c r="Q17" s="3">
        <v>11804.1525502146</v>
      </c>
      <c r="R17" s="3">
        <v>24451.6871089694</v>
      </c>
      <c r="S17" s="3">
        <v>5336.6485739970403</v>
      </c>
      <c r="T17" s="3">
        <v>7310.8859847576196</v>
      </c>
      <c r="U17" s="3">
        <v>12225.843554484663</v>
      </c>
    </row>
    <row r="18" spans="1:25" x14ac:dyDescent="0.25">
      <c r="A18">
        <v>17</v>
      </c>
      <c r="B18" t="s">
        <v>9</v>
      </c>
      <c r="C18">
        <v>2019</v>
      </c>
      <c r="D18">
        <v>17305.1025999099</v>
      </c>
      <c r="E18">
        <v>11729.243897799601</v>
      </c>
      <c r="F18">
        <v>25531.618116457499</v>
      </c>
      <c r="G18">
        <v>9.7587566849689402</v>
      </c>
      <c r="H18">
        <v>0.19843028101909799</v>
      </c>
      <c r="I18">
        <v>17305.1025999099</v>
      </c>
      <c r="J18" t="s">
        <v>10</v>
      </c>
      <c r="P18" s="2">
        <v>2016</v>
      </c>
      <c r="Q18" s="3">
        <v>13423.590840507</v>
      </c>
      <c r="R18" s="3">
        <v>29505.437071787601</v>
      </c>
      <c r="S18" s="3">
        <v>9583.6246892115396</v>
      </c>
      <c r="T18" s="3">
        <v>6498.22154206905</v>
      </c>
      <c r="U18" s="3">
        <v>14752.718535893797</v>
      </c>
    </row>
    <row r="19" spans="1:25" x14ac:dyDescent="0.25">
      <c r="A19">
        <v>18</v>
      </c>
      <c r="B19" t="s">
        <v>9</v>
      </c>
      <c r="C19">
        <v>2021</v>
      </c>
      <c r="D19">
        <v>19384.900898030901</v>
      </c>
      <c r="E19">
        <v>14341.9771479143</v>
      </c>
      <c r="F19">
        <v>26201.016704389898</v>
      </c>
      <c r="G19">
        <v>9.8722497377902307</v>
      </c>
      <c r="H19">
        <v>0.153729231299021</v>
      </c>
      <c r="I19">
        <v>19384.900898030901</v>
      </c>
      <c r="J19" t="s">
        <v>10</v>
      </c>
      <c r="P19" s="2">
        <v>2017</v>
      </c>
      <c r="Q19" s="3">
        <v>14990.629967790701</v>
      </c>
      <c r="R19" s="3">
        <v>28929.760947737799</v>
      </c>
      <c r="S19" s="3">
        <v>7486.2201633582599</v>
      </c>
      <c r="T19" s="3">
        <v>6452.9108165889502</v>
      </c>
      <c r="U19" s="3">
        <v>14464.880473868927</v>
      </c>
    </row>
    <row r="20" spans="1:25" x14ac:dyDescent="0.25">
      <c r="A20">
        <v>19</v>
      </c>
      <c r="B20" t="s">
        <v>9</v>
      </c>
      <c r="C20">
        <v>2022</v>
      </c>
      <c r="D20">
        <v>14580.4753991241</v>
      </c>
      <c r="E20">
        <v>10681.976929004</v>
      </c>
      <c r="F20">
        <v>19901.771392824401</v>
      </c>
      <c r="G20">
        <v>9.5874386112810104</v>
      </c>
      <c r="H20">
        <v>0.15874037106748501</v>
      </c>
      <c r="I20">
        <v>14580.475399124</v>
      </c>
      <c r="J20" t="s">
        <v>10</v>
      </c>
      <c r="P20" s="2">
        <v>2018</v>
      </c>
      <c r="Q20" s="3">
        <v>15884.2222533687</v>
      </c>
      <c r="R20" s="3">
        <v>30786.731693127698</v>
      </c>
      <c r="S20" s="3">
        <v>9145.0357004313792</v>
      </c>
      <c r="T20" s="3">
        <v>5757.47373932757</v>
      </c>
      <c r="U20" s="3">
        <v>15393.365846563836</v>
      </c>
    </row>
    <row r="21" spans="1:25" x14ac:dyDescent="0.25">
      <c r="A21">
        <v>20</v>
      </c>
      <c r="B21" t="s">
        <v>9</v>
      </c>
      <c r="C21">
        <v>2023</v>
      </c>
      <c r="D21">
        <v>17783.824067252099</v>
      </c>
      <c r="E21">
        <v>13219.6780882763</v>
      </c>
      <c r="F21">
        <v>23923.759439758898</v>
      </c>
      <c r="G21">
        <v>9.7860445628404893</v>
      </c>
      <c r="H21">
        <v>0.15132053569760001</v>
      </c>
      <c r="I21">
        <v>17783.824067252099</v>
      </c>
      <c r="J21" t="s">
        <v>10</v>
      </c>
      <c r="P21" s="2">
        <v>2019</v>
      </c>
      <c r="Q21" s="3">
        <v>7071.6575229876598</v>
      </c>
      <c r="R21" s="3">
        <v>17305.1025999099</v>
      </c>
      <c r="S21" s="3">
        <v>4592.9612952550997</v>
      </c>
      <c r="T21" s="3">
        <v>5640.4837816672198</v>
      </c>
      <c r="U21" s="3">
        <v>8652.5512999549701</v>
      </c>
    </row>
    <row r="22" spans="1:25" x14ac:dyDescent="0.25">
      <c r="A22">
        <v>21</v>
      </c>
      <c r="B22" t="s">
        <v>9</v>
      </c>
      <c r="C22">
        <v>2024</v>
      </c>
      <c r="D22">
        <v>27460.199943488798</v>
      </c>
      <c r="E22">
        <v>20554.369061941001</v>
      </c>
      <c r="F22">
        <v>36686.2431371161</v>
      </c>
      <c r="G22">
        <v>10.220492960558699</v>
      </c>
      <c r="H22">
        <v>0.14779055079389899</v>
      </c>
      <c r="I22">
        <v>27460.199943488798</v>
      </c>
      <c r="J22" t="s">
        <v>10</v>
      </c>
      <c r="P22" s="2">
        <v>2021</v>
      </c>
      <c r="Q22" s="3">
        <v>7400.1951402466502</v>
      </c>
      <c r="R22" s="3">
        <v>19384.900898030901</v>
      </c>
      <c r="S22" s="3">
        <v>4506.0309572054703</v>
      </c>
      <c r="T22" s="3">
        <v>7478.6748005790096</v>
      </c>
      <c r="U22" s="3">
        <v>9692.4504490155068</v>
      </c>
    </row>
    <row r="23" spans="1:25" x14ac:dyDescent="0.25">
      <c r="A23">
        <v>22</v>
      </c>
      <c r="B23" t="s">
        <v>9</v>
      </c>
      <c r="C23">
        <v>2025</v>
      </c>
      <c r="D23">
        <v>31292.667866999102</v>
      </c>
      <c r="E23">
        <v>23268.731175637098</v>
      </c>
      <c r="F23">
        <v>42083.560759840402</v>
      </c>
      <c r="G23">
        <v>10.3511390956361</v>
      </c>
      <c r="H23">
        <v>0.151162658778415</v>
      </c>
      <c r="I23">
        <v>31292.667866999102</v>
      </c>
      <c r="J23" t="s">
        <v>10</v>
      </c>
      <c r="P23" s="2">
        <v>2022</v>
      </c>
      <c r="Q23" s="3">
        <v>4261.7780442466001</v>
      </c>
      <c r="R23" s="3">
        <v>14580.4753991241</v>
      </c>
      <c r="S23" s="3">
        <v>3602.6796167398702</v>
      </c>
      <c r="T23" s="3">
        <v>6716.0177381374597</v>
      </c>
      <c r="U23" s="3">
        <v>7290.2376995620079</v>
      </c>
    </row>
    <row r="24" spans="1:25" x14ac:dyDescent="0.25">
      <c r="A24">
        <v>23</v>
      </c>
      <c r="B24" t="s">
        <v>11</v>
      </c>
      <c r="C24">
        <v>2003</v>
      </c>
      <c r="D24">
        <v>7658.1256640070696</v>
      </c>
      <c r="E24">
        <v>5055.9639317604897</v>
      </c>
      <c r="F24">
        <v>11599.5464914843</v>
      </c>
      <c r="G24">
        <v>8.94352254140993</v>
      </c>
      <c r="H24">
        <v>0.21183998411890101</v>
      </c>
      <c r="I24">
        <v>7658.1256640070696</v>
      </c>
      <c r="J24" t="s">
        <v>10</v>
      </c>
      <c r="P24" s="2">
        <v>2023</v>
      </c>
      <c r="Q24" s="3">
        <v>6017.1725116179496</v>
      </c>
      <c r="R24" s="3">
        <v>17783.824067252099</v>
      </c>
      <c r="S24" s="3">
        <v>4160.84230778644</v>
      </c>
      <c r="T24" s="3">
        <v>7605.8092478476901</v>
      </c>
      <c r="U24" s="3">
        <v>8891.9120336260457</v>
      </c>
    </row>
    <row r="25" spans="1:25" x14ac:dyDescent="0.25">
      <c r="A25">
        <v>24</v>
      </c>
      <c r="B25" t="s">
        <v>11</v>
      </c>
      <c r="C25">
        <v>2004</v>
      </c>
      <c r="D25">
        <v>5494.7351904339503</v>
      </c>
      <c r="E25">
        <v>3416.6189734649301</v>
      </c>
      <c r="F25">
        <v>8836.8398839552901</v>
      </c>
      <c r="G25">
        <v>8.6115456746726693</v>
      </c>
      <c r="H25">
        <v>0.24242228000379601</v>
      </c>
      <c r="I25">
        <v>5494.7351904339503</v>
      </c>
      <c r="J25" t="s">
        <v>10</v>
      </c>
      <c r="P25" s="2">
        <v>2024</v>
      </c>
      <c r="Q25" s="3">
        <v>7635.7432475855003</v>
      </c>
      <c r="R25" s="3">
        <v>27460.199943488798</v>
      </c>
      <c r="S25" s="3">
        <v>5273.5747851265496</v>
      </c>
      <c r="T25" s="3">
        <v>14550.881910776599</v>
      </c>
      <c r="U25" s="3">
        <v>13730.099971744363</v>
      </c>
    </row>
    <row r="26" spans="1:25" x14ac:dyDescent="0.25">
      <c r="A26">
        <v>25</v>
      </c>
      <c r="B26" t="s">
        <v>11</v>
      </c>
      <c r="C26">
        <v>2005</v>
      </c>
      <c r="D26">
        <v>4377.6824656018998</v>
      </c>
      <c r="E26">
        <v>2739.9829503568899</v>
      </c>
      <c r="F26">
        <v>6994.24197772549</v>
      </c>
      <c r="G26">
        <v>8.3842747458959703</v>
      </c>
      <c r="H26">
        <v>0.23906958124062599</v>
      </c>
      <c r="I26">
        <v>4377.6824656018898</v>
      </c>
      <c r="J26" t="s">
        <v>10</v>
      </c>
      <c r="P26" s="2">
        <v>2025</v>
      </c>
      <c r="Q26" s="3">
        <v>8217.9258872490009</v>
      </c>
      <c r="R26" s="3">
        <v>31292.667866999102</v>
      </c>
      <c r="S26" s="3">
        <v>4806.42657399785</v>
      </c>
      <c r="T26" s="3">
        <v>18268.315405752299</v>
      </c>
      <c r="U26" s="3">
        <v>15646.333933499563</v>
      </c>
    </row>
    <row r="27" spans="1:25" x14ac:dyDescent="0.25">
      <c r="A27">
        <v>26</v>
      </c>
      <c r="B27" t="s">
        <v>11</v>
      </c>
      <c r="C27">
        <v>2006</v>
      </c>
      <c r="D27">
        <v>6132.62728097114</v>
      </c>
      <c r="E27">
        <v>3879.71486412379</v>
      </c>
      <c r="F27">
        <v>9693.7838692960995</v>
      </c>
      <c r="G27">
        <v>8.7213785310694991</v>
      </c>
      <c r="H27">
        <v>0.23360714451492501</v>
      </c>
      <c r="I27">
        <v>6132.62728097115</v>
      </c>
      <c r="J27" t="s">
        <v>10</v>
      </c>
      <c r="P27" s="2" t="s">
        <v>15</v>
      </c>
      <c r="Q27" s="3">
        <v>9700.5780757757293</v>
      </c>
      <c r="R27" s="3">
        <v>22813.702633954115</v>
      </c>
      <c r="S27" s="3">
        <v>5745.5411055482691</v>
      </c>
      <c r="T27" s="3">
        <v>7367.5834526300814</v>
      </c>
      <c r="U27" s="3">
        <v>11406.851316977047</v>
      </c>
    </row>
    <row r="28" spans="1:25" x14ac:dyDescent="0.25">
      <c r="A28">
        <v>27</v>
      </c>
      <c r="B28" t="s">
        <v>11</v>
      </c>
      <c r="C28">
        <v>2007</v>
      </c>
      <c r="D28">
        <v>4375.1811514290002</v>
      </c>
      <c r="E28">
        <v>2898.9792316854</v>
      </c>
      <c r="F28">
        <v>6603.08632038417</v>
      </c>
      <c r="G28">
        <v>8.3837032039754202</v>
      </c>
      <c r="H28">
        <v>0.20999836848233899</v>
      </c>
      <c r="I28">
        <v>4375.1811514290102</v>
      </c>
      <c r="J28" t="s">
        <v>10</v>
      </c>
    </row>
    <row r="29" spans="1:25" x14ac:dyDescent="0.25">
      <c r="A29">
        <v>28</v>
      </c>
      <c r="B29" t="s">
        <v>11</v>
      </c>
      <c r="C29">
        <v>2008</v>
      </c>
      <c r="D29">
        <v>4291.3514613961597</v>
      </c>
      <c r="E29">
        <v>2882.9168891761701</v>
      </c>
      <c r="F29">
        <v>6387.8696726805301</v>
      </c>
      <c r="G29">
        <v>8.3643569882782707</v>
      </c>
      <c r="H29">
        <v>0.20296246364171699</v>
      </c>
      <c r="I29">
        <v>4291.3514613961597</v>
      </c>
      <c r="J29" t="s">
        <v>10</v>
      </c>
      <c r="V29" t="s">
        <v>18</v>
      </c>
    </row>
    <row r="30" spans="1:25" x14ac:dyDescent="0.25">
      <c r="A30">
        <v>29</v>
      </c>
      <c r="B30" t="s">
        <v>11</v>
      </c>
      <c r="C30">
        <v>2009</v>
      </c>
      <c r="D30">
        <v>3314.8641466651802</v>
      </c>
      <c r="E30">
        <v>2193.6546918735398</v>
      </c>
      <c r="F30">
        <v>5009.14038638482</v>
      </c>
      <c r="G30">
        <v>8.1061719203820708</v>
      </c>
      <c r="H30">
        <v>0.210640441695851</v>
      </c>
      <c r="I30">
        <v>3314.8641466651802</v>
      </c>
      <c r="J30" t="s">
        <v>10</v>
      </c>
      <c r="Q30" t="s">
        <v>13</v>
      </c>
      <c r="R30" t="s">
        <v>12</v>
      </c>
      <c r="S30" t="s">
        <v>11</v>
      </c>
      <c r="T30" t="s">
        <v>9</v>
      </c>
      <c r="V30" t="s">
        <v>13</v>
      </c>
      <c r="W30" t="s">
        <v>12</v>
      </c>
      <c r="X30" t="s">
        <v>11</v>
      </c>
      <c r="Y30" t="s">
        <v>9</v>
      </c>
    </row>
    <row r="31" spans="1:25" x14ac:dyDescent="0.25">
      <c r="A31">
        <v>30</v>
      </c>
      <c r="B31" t="s">
        <v>11</v>
      </c>
      <c r="C31">
        <v>2010</v>
      </c>
      <c r="D31">
        <v>4920.4452756042901</v>
      </c>
      <c r="E31">
        <v>3408.63193496434</v>
      </c>
      <c r="F31">
        <v>7102.7855668053699</v>
      </c>
      <c r="G31">
        <v>8.5011543085627892</v>
      </c>
      <c r="H31">
        <v>0.18729324302508599</v>
      </c>
      <c r="I31">
        <v>4920.4452756042901</v>
      </c>
      <c r="J31" t="s">
        <v>10</v>
      </c>
      <c r="P31">
        <v>2003</v>
      </c>
      <c r="Q31">
        <v>12617.818493651899</v>
      </c>
      <c r="R31">
        <v>7086.0443230903802</v>
      </c>
      <c r="S31">
        <v>7658.1256640070696</v>
      </c>
      <c r="T31">
        <v>27361.9884807495</v>
      </c>
      <c r="U31">
        <v>2003</v>
      </c>
      <c r="V31">
        <f>(Q31-(AVERAGE($Q$31:$Q$52)))/_xlfn.STDEV.S($Q$31:$Q$52)</f>
        <v>0.75488619969777648</v>
      </c>
      <c r="W31">
        <f>(R31-(AVERAGE($R$31:$R$52)))/_xlfn.STDEV.S($R$31:$R$52)</f>
        <v>0.75780070819559553</v>
      </c>
      <c r="X31">
        <f>(S31-(AVERAGE($S$31:$S$52)))/_xlfn.STDEV.S($S$31:$S$52)</f>
        <v>8.4315705010389777E-2</v>
      </c>
      <c r="Y31">
        <f>(T31-(AVERAGE($T$31:$T$52)))/_xlfn.STDEV.S($T$31:$T$52)</f>
        <v>0.68566728060837556</v>
      </c>
    </row>
    <row r="32" spans="1:25" x14ac:dyDescent="0.25">
      <c r="A32">
        <v>31</v>
      </c>
      <c r="B32" t="s">
        <v>11</v>
      </c>
      <c r="C32">
        <v>2011</v>
      </c>
      <c r="D32">
        <v>6734.0661463402803</v>
      </c>
      <c r="E32">
        <v>4713.9038676218197</v>
      </c>
      <c r="F32">
        <v>9619.97701623988</v>
      </c>
      <c r="G32">
        <v>8.8149344224141295</v>
      </c>
      <c r="H32">
        <v>0.18197412548997</v>
      </c>
      <c r="I32">
        <v>6734.0661463402803</v>
      </c>
      <c r="J32" t="s">
        <v>10</v>
      </c>
      <c r="P32">
        <v>2004</v>
      </c>
      <c r="Q32">
        <v>13771.1436320263</v>
      </c>
      <c r="R32">
        <v>6496.08824450881</v>
      </c>
      <c r="S32">
        <v>5494.7351904339503</v>
      </c>
      <c r="T32">
        <v>25761.9670669691</v>
      </c>
      <c r="U32">
        <v>2004</v>
      </c>
      <c r="V32">
        <f t="shared" ref="V32:V52" si="0">(Q32-(AVERAGE($Q$31:$Q$52)))/_xlfn.STDEV.S($Q$31:$Q$52)</f>
        <v>1.0533289421568315</v>
      </c>
      <c r="W32">
        <f t="shared" ref="W32:W52" si="1">(R32-(AVERAGE($R$31:$R$52)))/_xlfn.STDEV.S($R$31:$R$52)</f>
        <v>0.42429227024261773</v>
      </c>
      <c r="X32">
        <f t="shared" ref="X32:X52" si="2">(S32-(AVERAGE($S$31:$S$52)))/_xlfn.STDEV.S($S$31:$S$52)</f>
        <v>-0.54350285576802448</v>
      </c>
      <c r="Y32">
        <f t="shared" ref="Y32:Y52" si="3">(T32-(AVERAGE($T$31:$T$52)))/_xlfn.STDEV.S($T$31:$T$52)</f>
        <v>0.44445941270909795</v>
      </c>
    </row>
    <row r="33" spans="1:25" x14ac:dyDescent="0.25">
      <c r="A33">
        <v>32</v>
      </c>
      <c r="B33" t="s">
        <v>11</v>
      </c>
      <c r="C33">
        <v>2012</v>
      </c>
      <c r="D33">
        <v>8936.2061706463501</v>
      </c>
      <c r="E33">
        <v>6056.8488730830904</v>
      </c>
      <c r="F33">
        <v>13184.377288854001</v>
      </c>
      <c r="G33">
        <v>9.0978664123994406</v>
      </c>
      <c r="H33">
        <v>0.198432960801597</v>
      </c>
      <c r="I33">
        <v>8936.2061706463392</v>
      </c>
      <c r="J33" t="s">
        <v>10</v>
      </c>
      <c r="P33">
        <v>2005</v>
      </c>
      <c r="Q33">
        <v>11918.9155884541</v>
      </c>
      <c r="R33">
        <v>5157.5701320935896</v>
      </c>
      <c r="S33">
        <v>4377.6824656018998</v>
      </c>
      <c r="T33">
        <v>21454.168186149702</v>
      </c>
      <c r="U33">
        <v>2005</v>
      </c>
      <c r="V33">
        <f t="shared" si="0"/>
        <v>0.57403303626649382</v>
      </c>
      <c r="W33">
        <f t="shared" si="1"/>
        <v>-0.33238623693822855</v>
      </c>
      <c r="X33">
        <f t="shared" si="2"/>
        <v>-0.86767292242241145</v>
      </c>
      <c r="Y33">
        <f t="shared" si="3"/>
        <v>-0.20495376040981672</v>
      </c>
    </row>
    <row r="34" spans="1:25" x14ac:dyDescent="0.25">
      <c r="A34">
        <v>33</v>
      </c>
      <c r="B34" t="s">
        <v>11</v>
      </c>
      <c r="C34">
        <v>2013</v>
      </c>
      <c r="D34">
        <v>8831.9576472986191</v>
      </c>
      <c r="E34">
        <v>5670.4910071308695</v>
      </c>
      <c r="F34">
        <v>13756.035550639999</v>
      </c>
      <c r="G34">
        <v>9.0861319731361103</v>
      </c>
      <c r="H34">
        <v>0.226076084193992</v>
      </c>
      <c r="I34">
        <v>8831.95764729861</v>
      </c>
      <c r="J34" t="s">
        <v>10</v>
      </c>
      <c r="P34">
        <v>2006</v>
      </c>
      <c r="Q34">
        <v>10156.1024426535</v>
      </c>
      <c r="R34">
        <v>8186.5722900589399</v>
      </c>
      <c r="S34">
        <v>6132.62728097114</v>
      </c>
      <c r="T34">
        <v>24475.3020136837</v>
      </c>
      <c r="U34">
        <v>2006</v>
      </c>
      <c r="V34">
        <f t="shared" si="0"/>
        <v>0.11787477510422072</v>
      </c>
      <c r="W34">
        <f t="shared" si="1"/>
        <v>1.3799408581364401</v>
      </c>
      <c r="X34">
        <f t="shared" si="2"/>
        <v>-0.35838579109335805</v>
      </c>
      <c r="Y34">
        <f t="shared" si="3"/>
        <v>0.25049092483104929</v>
      </c>
    </row>
    <row r="35" spans="1:25" x14ac:dyDescent="0.25">
      <c r="A35">
        <v>34</v>
      </c>
      <c r="B35" t="s">
        <v>11</v>
      </c>
      <c r="C35">
        <v>2014</v>
      </c>
      <c r="D35">
        <v>10739.918389964399</v>
      </c>
      <c r="E35">
        <v>7382.0894132575804</v>
      </c>
      <c r="F35">
        <v>15625.094816102401</v>
      </c>
      <c r="G35">
        <v>9.2817227693342108</v>
      </c>
      <c r="H35">
        <v>0.19128452177682001</v>
      </c>
      <c r="I35">
        <v>10739.918389964399</v>
      </c>
      <c r="J35" t="s">
        <v>10</v>
      </c>
      <c r="P35">
        <v>2007</v>
      </c>
      <c r="Q35">
        <v>5390.3283931817396</v>
      </c>
      <c r="R35">
        <v>4384.3495992205499</v>
      </c>
      <c r="S35">
        <v>4375.1811514290002</v>
      </c>
      <c r="T35">
        <v>14149.8591438313</v>
      </c>
      <c r="U35">
        <v>2007</v>
      </c>
      <c r="V35">
        <f t="shared" si="0"/>
        <v>-1.1153513377586963</v>
      </c>
      <c r="W35">
        <f t="shared" si="1"/>
        <v>-0.7694960176047253</v>
      </c>
      <c r="X35">
        <f t="shared" si="2"/>
        <v>-0.86839880685394033</v>
      </c>
      <c r="Y35">
        <f t="shared" si="3"/>
        <v>-1.3060995297106568</v>
      </c>
    </row>
    <row r="36" spans="1:25" x14ac:dyDescent="0.25">
      <c r="A36">
        <v>35</v>
      </c>
      <c r="B36" t="s">
        <v>11</v>
      </c>
      <c r="C36">
        <v>2015</v>
      </c>
      <c r="D36">
        <v>7310.8859847576196</v>
      </c>
      <c r="E36">
        <v>4951.2611343550898</v>
      </c>
      <c r="F36">
        <v>10795.0383612896</v>
      </c>
      <c r="G36">
        <v>8.8971197471447105</v>
      </c>
      <c r="H36">
        <v>0.19884148509279201</v>
      </c>
      <c r="I36">
        <v>7310.8859847576095</v>
      </c>
      <c r="J36" t="s">
        <v>10</v>
      </c>
      <c r="P36">
        <v>2008</v>
      </c>
      <c r="Q36">
        <v>4355.0128142302501</v>
      </c>
      <c r="R36">
        <v>4713.94599722567</v>
      </c>
      <c r="S36">
        <v>4291.3514613961597</v>
      </c>
      <c r="T36">
        <v>13360.310272852001</v>
      </c>
      <c r="U36">
        <v>2008</v>
      </c>
      <c r="V36">
        <f t="shared" si="0"/>
        <v>-1.3832570743217387</v>
      </c>
      <c r="W36">
        <f t="shared" si="1"/>
        <v>-0.58317167271806247</v>
      </c>
      <c r="X36">
        <f t="shared" si="2"/>
        <v>-0.89272628540661858</v>
      </c>
      <c r="Y36">
        <f t="shared" si="3"/>
        <v>-1.4251263115593007</v>
      </c>
    </row>
    <row r="37" spans="1:25" x14ac:dyDescent="0.25">
      <c r="A37">
        <v>36</v>
      </c>
      <c r="B37" t="s">
        <v>11</v>
      </c>
      <c r="C37">
        <v>2016</v>
      </c>
      <c r="D37">
        <v>6498.22154206905</v>
      </c>
      <c r="E37">
        <v>4029.2308218522899</v>
      </c>
      <c r="F37">
        <v>10480.135062204799</v>
      </c>
      <c r="G37">
        <v>8.7792838095335295</v>
      </c>
      <c r="H37">
        <v>0.24385807068061</v>
      </c>
      <c r="I37">
        <v>6498.22154206906</v>
      </c>
      <c r="J37" t="s">
        <v>10</v>
      </c>
      <c r="P37">
        <v>2009</v>
      </c>
      <c r="Q37">
        <v>5966.01707493501</v>
      </c>
      <c r="R37">
        <v>3337.5059705742101</v>
      </c>
      <c r="S37">
        <v>3314.8641466651802</v>
      </c>
      <c r="T37">
        <v>12618.387192174499</v>
      </c>
      <c r="U37">
        <v>2009</v>
      </c>
      <c r="V37">
        <f t="shared" si="0"/>
        <v>-0.96638197667527403</v>
      </c>
      <c r="W37">
        <f t="shared" si="1"/>
        <v>-1.3612878408371991</v>
      </c>
      <c r="X37">
        <f t="shared" si="2"/>
        <v>-1.1761040981693045</v>
      </c>
      <c r="Y37">
        <f t="shared" si="3"/>
        <v>-1.5369733674137953</v>
      </c>
    </row>
    <row r="38" spans="1:25" x14ac:dyDescent="0.25">
      <c r="A38">
        <v>37</v>
      </c>
      <c r="B38" t="s">
        <v>11</v>
      </c>
      <c r="C38">
        <v>2017</v>
      </c>
      <c r="D38">
        <v>6452.9108165889502</v>
      </c>
      <c r="E38">
        <v>4083.8980071044102</v>
      </c>
      <c r="F38">
        <v>10196.155225819301</v>
      </c>
      <c r="G38">
        <v>8.7722865973830206</v>
      </c>
      <c r="H38">
        <v>0.233412142158471</v>
      </c>
      <c r="I38">
        <v>6452.9108165889502</v>
      </c>
      <c r="J38" t="s">
        <v>10</v>
      </c>
      <c r="P38">
        <v>2010</v>
      </c>
      <c r="Q38">
        <v>4894.23798681876</v>
      </c>
      <c r="R38">
        <v>3610.0851851986499</v>
      </c>
      <c r="S38">
        <v>4920.4452756042901</v>
      </c>
      <c r="T38">
        <v>13424.7684476217</v>
      </c>
      <c r="U38">
        <v>2010</v>
      </c>
      <c r="V38">
        <f t="shared" si="0"/>
        <v>-1.2437232742199755</v>
      </c>
      <c r="W38">
        <f t="shared" si="1"/>
        <v>-1.2071959153731628</v>
      </c>
      <c r="X38">
        <f t="shared" si="2"/>
        <v>-0.71016249128098885</v>
      </c>
      <c r="Y38">
        <f t="shared" si="3"/>
        <v>-1.4154090547957534</v>
      </c>
    </row>
    <row r="39" spans="1:25" x14ac:dyDescent="0.25">
      <c r="A39">
        <v>38</v>
      </c>
      <c r="B39" t="s">
        <v>11</v>
      </c>
      <c r="C39">
        <v>2018</v>
      </c>
      <c r="D39">
        <v>5757.47373932757</v>
      </c>
      <c r="E39">
        <v>3561.33763598003</v>
      </c>
      <c r="F39">
        <v>9307.8801414807804</v>
      </c>
      <c r="G39">
        <v>8.6582540705602593</v>
      </c>
      <c r="H39">
        <v>0.24508745090836501</v>
      </c>
      <c r="I39">
        <v>5757.47373932757</v>
      </c>
      <c r="J39" t="s">
        <v>10</v>
      </c>
      <c r="P39">
        <v>2011</v>
      </c>
      <c r="Q39">
        <v>7581.9679950825903</v>
      </c>
      <c r="R39">
        <v>5714.7068893068499</v>
      </c>
      <c r="S39">
        <v>6734.0661463402803</v>
      </c>
      <c r="T39">
        <v>20030.741030729801</v>
      </c>
      <c r="U39">
        <v>2011</v>
      </c>
      <c r="V39">
        <f t="shared" si="0"/>
        <v>-0.5482268457051559</v>
      </c>
      <c r="W39">
        <f t="shared" si="1"/>
        <v>-1.7430909973679021E-2</v>
      </c>
      <c r="X39">
        <f t="shared" si="2"/>
        <v>-0.18384749693668187</v>
      </c>
      <c r="Y39">
        <f t="shared" si="3"/>
        <v>-0.41953953176993108</v>
      </c>
    </row>
    <row r="40" spans="1:25" x14ac:dyDescent="0.25">
      <c r="A40">
        <v>39</v>
      </c>
      <c r="B40" t="s">
        <v>11</v>
      </c>
      <c r="C40">
        <v>2019</v>
      </c>
      <c r="D40">
        <v>5640.4837816672198</v>
      </c>
      <c r="E40">
        <v>3485.6262382865998</v>
      </c>
      <c r="F40">
        <v>9127.5010905615709</v>
      </c>
      <c r="G40">
        <v>8.6377251177048304</v>
      </c>
      <c r="H40">
        <v>0.24557702034446899</v>
      </c>
      <c r="I40">
        <v>5640.4837816672198</v>
      </c>
      <c r="J40" t="s">
        <v>10</v>
      </c>
      <c r="P40">
        <v>2012</v>
      </c>
      <c r="Q40">
        <v>11103.6437699527</v>
      </c>
      <c r="R40">
        <v>5434.9385625222203</v>
      </c>
      <c r="S40">
        <v>8936.2061706463501</v>
      </c>
      <c r="T40">
        <v>25474.788503121199</v>
      </c>
      <c r="U40">
        <v>2012</v>
      </c>
      <c r="V40">
        <f t="shared" si="0"/>
        <v>0.36306741237826029</v>
      </c>
      <c r="W40">
        <f t="shared" si="1"/>
        <v>-0.17558691690726849</v>
      </c>
      <c r="X40">
        <f t="shared" si="2"/>
        <v>0.4552162308465546</v>
      </c>
      <c r="Y40">
        <f t="shared" si="3"/>
        <v>0.40116641144328113</v>
      </c>
    </row>
    <row r="41" spans="1:25" x14ac:dyDescent="0.25">
      <c r="A41">
        <v>40</v>
      </c>
      <c r="B41" t="s">
        <v>11</v>
      </c>
      <c r="C41">
        <v>2021</v>
      </c>
      <c r="D41">
        <v>7478.6748005790096</v>
      </c>
      <c r="E41">
        <v>4948.1485204267301</v>
      </c>
      <c r="F41">
        <v>11303.3342758257</v>
      </c>
      <c r="G41">
        <v>8.9198108895748298</v>
      </c>
      <c r="H41">
        <v>0.21073965823686799</v>
      </c>
      <c r="I41">
        <v>7478.6748005790096</v>
      </c>
      <c r="J41" t="s">
        <v>10</v>
      </c>
      <c r="P41">
        <v>2013</v>
      </c>
      <c r="Q41">
        <v>13828.749982425399</v>
      </c>
      <c r="R41">
        <v>7384.6992540423398</v>
      </c>
      <c r="S41">
        <v>8831.9576472986191</v>
      </c>
      <c r="T41">
        <v>30045.406883766402</v>
      </c>
      <c r="U41">
        <v>2013</v>
      </c>
      <c r="V41">
        <f t="shared" si="0"/>
        <v>1.0682355774361045</v>
      </c>
      <c r="W41">
        <f t="shared" si="1"/>
        <v>0.92663351308544428</v>
      </c>
      <c r="X41">
        <f t="shared" si="2"/>
        <v>0.4249631818981835</v>
      </c>
      <c r="Y41">
        <f t="shared" si="3"/>
        <v>1.0902003862898142</v>
      </c>
    </row>
    <row r="42" spans="1:25" x14ac:dyDescent="0.25">
      <c r="A42">
        <v>41</v>
      </c>
      <c r="B42" t="s">
        <v>11</v>
      </c>
      <c r="C42">
        <v>2022</v>
      </c>
      <c r="D42">
        <v>6716.0177381374597</v>
      </c>
      <c r="E42">
        <v>4260.5930441076298</v>
      </c>
      <c r="F42">
        <v>10586.529572768401</v>
      </c>
      <c r="G42">
        <v>8.8122506593698606</v>
      </c>
      <c r="H42">
        <v>0.23219152043272101</v>
      </c>
      <c r="I42">
        <v>6716.0177381374597</v>
      </c>
      <c r="J42" t="s">
        <v>10</v>
      </c>
      <c r="P42">
        <v>2014</v>
      </c>
      <c r="Q42">
        <v>15121.711527839399</v>
      </c>
      <c r="R42">
        <v>6401.3532111102104</v>
      </c>
      <c r="S42">
        <v>10739.918389964399</v>
      </c>
      <c r="T42">
        <v>32262.983128914198</v>
      </c>
      <c r="U42">
        <v>2014</v>
      </c>
      <c r="V42">
        <f t="shared" si="0"/>
        <v>1.4028116450759194</v>
      </c>
      <c r="W42">
        <f t="shared" si="1"/>
        <v>0.37073754955196264</v>
      </c>
      <c r="X42">
        <f t="shared" si="2"/>
        <v>0.97865572243328858</v>
      </c>
      <c r="Y42">
        <f t="shared" si="3"/>
        <v>1.4245064358147235</v>
      </c>
    </row>
    <row r="43" spans="1:25" x14ac:dyDescent="0.25">
      <c r="A43">
        <v>42</v>
      </c>
      <c r="B43" t="s">
        <v>11</v>
      </c>
      <c r="C43">
        <v>2023</v>
      </c>
      <c r="D43">
        <v>7605.8092478476901</v>
      </c>
      <c r="E43">
        <v>5233.5673914999797</v>
      </c>
      <c r="F43">
        <v>11053.327489123199</v>
      </c>
      <c r="G43">
        <v>8.9366676090056494</v>
      </c>
      <c r="H43">
        <v>0.190727577545132</v>
      </c>
      <c r="I43">
        <v>7605.8092478476901</v>
      </c>
      <c r="J43" t="s">
        <v>10</v>
      </c>
      <c r="P43">
        <v>2015</v>
      </c>
      <c r="Q43">
        <v>11804.1525502146</v>
      </c>
      <c r="R43">
        <v>5336.6485739970403</v>
      </c>
      <c r="S43">
        <v>7310.8859847576196</v>
      </c>
      <c r="T43">
        <v>24451.6871089694</v>
      </c>
      <c r="U43">
        <v>2015</v>
      </c>
      <c r="V43">
        <f t="shared" si="0"/>
        <v>0.54433612363923156</v>
      </c>
      <c r="W43">
        <f t="shared" si="1"/>
        <v>-0.23115129149302249</v>
      </c>
      <c r="X43">
        <f t="shared" si="2"/>
        <v>-1.6453674505036736E-2</v>
      </c>
      <c r="Y43">
        <f t="shared" si="3"/>
        <v>0.24693090946642815</v>
      </c>
    </row>
    <row r="44" spans="1:25" x14ac:dyDescent="0.25">
      <c r="A44">
        <v>43</v>
      </c>
      <c r="B44" t="s">
        <v>11</v>
      </c>
      <c r="C44">
        <v>2024</v>
      </c>
      <c r="D44">
        <v>14550.881910776599</v>
      </c>
      <c r="E44">
        <v>10057.762655111301</v>
      </c>
      <c r="F44">
        <v>21051.2190078147</v>
      </c>
      <c r="G44">
        <v>9.5854068831872894</v>
      </c>
      <c r="H44">
        <v>0.18842533192932101</v>
      </c>
      <c r="I44">
        <v>14550.881910776599</v>
      </c>
      <c r="J44" t="s">
        <v>10</v>
      </c>
      <c r="P44">
        <v>2016</v>
      </c>
      <c r="Q44">
        <v>13423.590840507</v>
      </c>
      <c r="R44">
        <v>9583.6246892115396</v>
      </c>
      <c r="S44">
        <v>6498.22154206905</v>
      </c>
      <c r="T44">
        <v>29505.437071787601</v>
      </c>
      <c r="U44">
        <v>2016</v>
      </c>
      <c r="V44">
        <f t="shared" si="0"/>
        <v>0.96339367169483614</v>
      </c>
      <c r="W44">
        <f t="shared" si="1"/>
        <v>2.1697094193826856</v>
      </c>
      <c r="X44">
        <f t="shared" si="2"/>
        <v>-0.25228988948191927</v>
      </c>
      <c r="Y44">
        <f t="shared" si="3"/>
        <v>1.0087983713194968</v>
      </c>
    </row>
    <row r="45" spans="1:25" x14ac:dyDescent="0.25">
      <c r="A45">
        <v>44</v>
      </c>
      <c r="B45" t="s">
        <v>11</v>
      </c>
      <c r="C45">
        <v>2025</v>
      </c>
      <c r="D45">
        <v>18268.315405752299</v>
      </c>
      <c r="E45">
        <v>12614.283123416501</v>
      </c>
      <c r="F45">
        <v>26456.624169512001</v>
      </c>
      <c r="G45">
        <v>9.8129234396338596</v>
      </c>
      <c r="H45">
        <v>0.18895163911683699</v>
      </c>
      <c r="I45">
        <v>18268.315405752299</v>
      </c>
      <c r="J45" t="s">
        <v>10</v>
      </c>
      <c r="P45">
        <v>2017</v>
      </c>
      <c r="Q45">
        <v>14990.629967790701</v>
      </c>
      <c r="R45">
        <v>7486.2201633582599</v>
      </c>
      <c r="S45">
        <v>6452.9108165889502</v>
      </c>
      <c r="T45">
        <v>28929.760947737799</v>
      </c>
      <c r="U45">
        <v>2017</v>
      </c>
      <c r="V45">
        <f t="shared" si="0"/>
        <v>1.3688920338881456</v>
      </c>
      <c r="W45">
        <f t="shared" si="1"/>
        <v>0.98402436151423467</v>
      </c>
      <c r="X45">
        <f t="shared" si="2"/>
        <v>-0.26543911742122805</v>
      </c>
      <c r="Y45">
        <f t="shared" si="3"/>
        <v>0.92201352626264765</v>
      </c>
    </row>
    <row r="46" spans="1:25" x14ac:dyDescent="0.25">
      <c r="A46">
        <v>45</v>
      </c>
      <c r="B46" t="s">
        <v>12</v>
      </c>
      <c r="C46">
        <v>2003</v>
      </c>
      <c r="D46">
        <v>7086.0443230903802</v>
      </c>
      <c r="E46">
        <v>4785.0972630630704</v>
      </c>
      <c r="F46">
        <v>10493.4176649649</v>
      </c>
      <c r="G46">
        <v>8.8658825404284904</v>
      </c>
      <c r="H46">
        <v>0.200320471797447</v>
      </c>
      <c r="I46">
        <v>7086.0443230903802</v>
      </c>
      <c r="J46" t="s">
        <v>10</v>
      </c>
      <c r="P46">
        <v>2018</v>
      </c>
      <c r="Q46">
        <v>15884.2222533687</v>
      </c>
      <c r="R46">
        <v>9145.0357004313792</v>
      </c>
      <c r="S46">
        <v>5757.47373932757</v>
      </c>
      <c r="T46">
        <v>30786.731693127698</v>
      </c>
      <c r="U46">
        <v>2018</v>
      </c>
      <c r="V46">
        <f t="shared" si="0"/>
        <v>1.6001244274905642</v>
      </c>
      <c r="W46">
        <f t="shared" si="1"/>
        <v>1.9217704051714386</v>
      </c>
      <c r="X46">
        <f t="shared" si="2"/>
        <v>-0.46725580760803076</v>
      </c>
      <c r="Y46">
        <f t="shared" si="3"/>
        <v>1.2019572510085126</v>
      </c>
    </row>
    <row r="47" spans="1:25" x14ac:dyDescent="0.25">
      <c r="A47">
        <v>46</v>
      </c>
      <c r="B47" t="s">
        <v>12</v>
      </c>
      <c r="C47">
        <v>2004</v>
      </c>
      <c r="D47">
        <v>6496.08824450881</v>
      </c>
      <c r="E47">
        <v>4542.7243683935303</v>
      </c>
      <c r="F47">
        <v>9289.3953183800004</v>
      </c>
      <c r="G47">
        <v>8.7789554661871794</v>
      </c>
      <c r="H47">
        <v>0.18248971756920501</v>
      </c>
      <c r="I47">
        <v>6496.08824450882</v>
      </c>
      <c r="J47" t="s">
        <v>10</v>
      </c>
      <c r="P47">
        <v>2019</v>
      </c>
      <c r="Q47">
        <v>7071.6575229876598</v>
      </c>
      <c r="R47">
        <v>4592.9612952550997</v>
      </c>
      <c r="S47">
        <v>5640.4837816672198</v>
      </c>
      <c r="T47">
        <v>17305.1025999099</v>
      </c>
      <c r="U47">
        <v>2019</v>
      </c>
      <c r="V47">
        <f t="shared" si="0"/>
        <v>-0.68027846907673095</v>
      </c>
      <c r="W47">
        <f t="shared" si="1"/>
        <v>-0.65156560988610301</v>
      </c>
      <c r="X47">
        <f t="shared" si="2"/>
        <v>-0.50120643637387674</v>
      </c>
      <c r="Y47">
        <f t="shared" si="3"/>
        <v>-0.83043742907309448</v>
      </c>
    </row>
    <row r="48" spans="1:25" x14ac:dyDescent="0.25">
      <c r="A48">
        <v>47</v>
      </c>
      <c r="B48" t="s">
        <v>12</v>
      </c>
      <c r="C48">
        <v>2005</v>
      </c>
      <c r="D48">
        <v>5157.5701320935896</v>
      </c>
      <c r="E48">
        <v>3612.04556668535</v>
      </c>
      <c r="F48">
        <v>7364.3948218167898</v>
      </c>
      <c r="G48">
        <v>8.5482208429321798</v>
      </c>
      <c r="H48">
        <v>0.18173360119016099</v>
      </c>
      <c r="I48">
        <v>5157.5701320935896</v>
      </c>
      <c r="J48" t="s">
        <v>10</v>
      </c>
      <c r="P48">
        <v>2021</v>
      </c>
      <c r="Q48">
        <v>7400.1951402466502</v>
      </c>
      <c r="R48">
        <v>4506.0309572054703</v>
      </c>
      <c r="S48">
        <v>7478.6748005790096</v>
      </c>
      <c r="T48">
        <v>19384.900898030901</v>
      </c>
      <c r="U48">
        <v>2021</v>
      </c>
      <c r="V48">
        <f t="shared" si="0"/>
        <v>-0.59526370243951332</v>
      </c>
      <c r="W48">
        <f t="shared" si="1"/>
        <v>-0.70070825339163578</v>
      </c>
      <c r="X48">
        <f t="shared" si="2"/>
        <v>3.2238845014897786E-2</v>
      </c>
      <c r="Y48">
        <f t="shared" si="3"/>
        <v>-0.51690180459353041</v>
      </c>
    </row>
    <row r="49" spans="1:25" x14ac:dyDescent="0.25">
      <c r="A49">
        <v>48</v>
      </c>
      <c r="B49" t="s">
        <v>12</v>
      </c>
      <c r="C49">
        <v>2006</v>
      </c>
      <c r="D49">
        <v>8186.5722900589399</v>
      </c>
      <c r="E49">
        <v>5862.7041842189901</v>
      </c>
      <c r="F49">
        <v>11431.5789701215</v>
      </c>
      <c r="G49">
        <v>9.0102505654392608</v>
      </c>
      <c r="H49">
        <v>0.170352275378641</v>
      </c>
      <c r="I49">
        <v>8186.5722900589499</v>
      </c>
      <c r="J49" t="s">
        <v>10</v>
      </c>
      <c r="P49">
        <v>2022</v>
      </c>
      <c r="Q49">
        <v>4261.7780442466001</v>
      </c>
      <c r="R49">
        <v>3602.6796167398702</v>
      </c>
      <c r="S49">
        <v>6716.0177381374597</v>
      </c>
      <c r="T49">
        <v>14580.4753991241</v>
      </c>
      <c r="U49">
        <v>2022</v>
      </c>
      <c r="V49">
        <f t="shared" si="0"/>
        <v>-1.4073831767716334</v>
      </c>
      <c r="W49">
        <f t="shared" si="1"/>
        <v>-1.2113823618875874</v>
      </c>
      <c r="X49">
        <f t="shared" si="2"/>
        <v>-0.18908516706634707</v>
      </c>
      <c r="Y49">
        <f t="shared" si="3"/>
        <v>-1.2411828805162335</v>
      </c>
    </row>
    <row r="50" spans="1:25" x14ac:dyDescent="0.25">
      <c r="A50">
        <v>49</v>
      </c>
      <c r="B50" t="s">
        <v>12</v>
      </c>
      <c r="C50">
        <v>2007</v>
      </c>
      <c r="D50">
        <v>4384.3495992205499</v>
      </c>
      <c r="E50">
        <v>3127.8013445537799</v>
      </c>
      <c r="F50">
        <v>6145.6976612840999</v>
      </c>
      <c r="G50">
        <v>8.3857965697961898</v>
      </c>
      <c r="H50">
        <v>0.172304685997267</v>
      </c>
      <c r="I50">
        <v>4384.3495992205499</v>
      </c>
      <c r="J50" t="s">
        <v>10</v>
      </c>
      <c r="P50">
        <v>2023</v>
      </c>
      <c r="Q50">
        <v>6017.1725116179496</v>
      </c>
      <c r="R50">
        <v>4160.84230778644</v>
      </c>
      <c r="S50">
        <v>7605.8092478476901</v>
      </c>
      <c r="T50">
        <v>17783.824067252099</v>
      </c>
      <c r="U50">
        <v>2023</v>
      </c>
      <c r="V50">
        <f t="shared" si="0"/>
        <v>-0.95314462641959008</v>
      </c>
      <c r="W50">
        <f t="shared" si="1"/>
        <v>-0.89584706362922095</v>
      </c>
      <c r="X50">
        <f t="shared" si="2"/>
        <v>6.9133417069545663E-2</v>
      </c>
      <c r="Y50">
        <f t="shared" si="3"/>
        <v>-0.75826877966583495</v>
      </c>
    </row>
    <row r="51" spans="1:25" x14ac:dyDescent="0.25">
      <c r="A51">
        <v>50</v>
      </c>
      <c r="B51" t="s">
        <v>12</v>
      </c>
      <c r="C51">
        <v>2008</v>
      </c>
      <c r="D51">
        <v>4713.94599722567</v>
      </c>
      <c r="E51">
        <v>3317.3021149879701</v>
      </c>
      <c r="F51">
        <v>6698.6020852190204</v>
      </c>
      <c r="G51">
        <v>8.4582806276022193</v>
      </c>
      <c r="H51">
        <v>0.17927549423462999</v>
      </c>
      <c r="I51">
        <v>4713.94599722567</v>
      </c>
      <c r="J51" t="s">
        <v>10</v>
      </c>
      <c r="P51">
        <v>2024</v>
      </c>
      <c r="Q51">
        <v>7635.7432475855003</v>
      </c>
      <c r="R51">
        <v>5273.5747851265496</v>
      </c>
      <c r="S51">
        <v>14550.881910776599</v>
      </c>
      <c r="T51">
        <v>27460.199943488798</v>
      </c>
      <c r="U51">
        <v>2024</v>
      </c>
      <c r="V51">
        <f t="shared" si="0"/>
        <v>-0.5343115729868162</v>
      </c>
      <c r="W51">
        <f t="shared" si="1"/>
        <v>-0.26680757433453373</v>
      </c>
      <c r="X51">
        <f t="shared" si="2"/>
        <v>2.0846019961374878</v>
      </c>
      <c r="Y51">
        <f t="shared" si="3"/>
        <v>0.70047294341175281</v>
      </c>
    </row>
    <row r="52" spans="1:25" x14ac:dyDescent="0.25">
      <c r="A52">
        <v>51</v>
      </c>
      <c r="B52" t="s">
        <v>12</v>
      </c>
      <c r="C52">
        <v>2009</v>
      </c>
      <c r="D52">
        <v>3337.5059705742101</v>
      </c>
      <c r="E52">
        <v>2312.9070997001099</v>
      </c>
      <c r="F52">
        <v>4815.9937357893796</v>
      </c>
      <c r="G52">
        <v>8.112979091643</v>
      </c>
      <c r="H52">
        <v>0.18710476188810399</v>
      </c>
      <c r="I52">
        <v>3337.5059705742101</v>
      </c>
      <c r="J52" t="s">
        <v>10</v>
      </c>
      <c r="P52">
        <v>2025</v>
      </c>
      <c r="Q52">
        <v>8217.9258872490009</v>
      </c>
      <c r="R52">
        <v>4806.42657399785</v>
      </c>
      <c r="S52">
        <v>18268.315405752299</v>
      </c>
      <c r="T52">
        <v>31292.667866999102</v>
      </c>
      <c r="U52">
        <v>2025</v>
      </c>
      <c r="V52">
        <f t="shared" si="0"/>
        <v>-0.38366178845326904</v>
      </c>
      <c r="W52">
        <f t="shared" si="1"/>
        <v>-0.53089142030599124</v>
      </c>
      <c r="X52">
        <f t="shared" si="2"/>
        <v>3.1634057419774235</v>
      </c>
      <c r="Y52">
        <f t="shared" si="3"/>
        <v>1.2782285963427624</v>
      </c>
    </row>
    <row r="53" spans="1:25" x14ac:dyDescent="0.25">
      <c r="A53">
        <v>52</v>
      </c>
      <c r="B53" t="s">
        <v>12</v>
      </c>
      <c r="C53">
        <v>2010</v>
      </c>
      <c r="D53">
        <v>3610.0851851986499</v>
      </c>
      <c r="E53">
        <v>2576.8155909787401</v>
      </c>
      <c r="F53">
        <v>5057.6824705723802</v>
      </c>
      <c r="G53">
        <v>8.1914866480564594</v>
      </c>
      <c r="H53">
        <v>0.172032242529887</v>
      </c>
      <c r="I53">
        <v>3610.0851851986499</v>
      </c>
      <c r="J53" t="s">
        <v>10</v>
      </c>
    </row>
    <row r="54" spans="1:25" x14ac:dyDescent="0.25">
      <c r="A54">
        <v>53</v>
      </c>
      <c r="B54" t="s">
        <v>12</v>
      </c>
      <c r="C54">
        <v>2011</v>
      </c>
      <c r="D54">
        <v>5714.7068893068499</v>
      </c>
      <c r="E54">
        <v>4050.2641782620999</v>
      </c>
      <c r="F54">
        <v>8063.1468450791399</v>
      </c>
      <c r="G54">
        <v>8.6507982869533304</v>
      </c>
      <c r="H54">
        <v>0.175646543760521</v>
      </c>
      <c r="I54">
        <v>5714.7068893068499</v>
      </c>
      <c r="J54" t="s">
        <v>10</v>
      </c>
    </row>
    <row r="55" spans="1:25" x14ac:dyDescent="0.25">
      <c r="A55">
        <v>54</v>
      </c>
      <c r="B55" t="s">
        <v>12</v>
      </c>
      <c r="C55">
        <v>2012</v>
      </c>
      <c r="D55">
        <v>5434.9385625222203</v>
      </c>
      <c r="E55">
        <v>3797.86826128037</v>
      </c>
      <c r="F55">
        <v>7777.6676667643897</v>
      </c>
      <c r="G55">
        <v>8.60060349544767</v>
      </c>
      <c r="H55">
        <v>0.182864733150293</v>
      </c>
      <c r="I55">
        <v>5434.9385625222103</v>
      </c>
      <c r="J55" t="s">
        <v>10</v>
      </c>
    </row>
    <row r="56" spans="1:25" x14ac:dyDescent="0.25">
      <c r="A56">
        <v>55</v>
      </c>
      <c r="B56" t="s">
        <v>12</v>
      </c>
      <c r="C56">
        <v>2013</v>
      </c>
      <c r="D56">
        <v>7384.6992540423398</v>
      </c>
      <c r="E56">
        <v>5061.1382547281401</v>
      </c>
      <c r="F56">
        <v>10775.003631190601</v>
      </c>
      <c r="G56">
        <v>8.9071654702421803</v>
      </c>
      <c r="H56">
        <v>0.19276822671811999</v>
      </c>
      <c r="I56">
        <v>7384.6992540423398</v>
      </c>
      <c r="J56" t="s">
        <v>10</v>
      </c>
    </row>
    <row r="57" spans="1:25" x14ac:dyDescent="0.25">
      <c r="A57">
        <v>56</v>
      </c>
      <c r="B57" t="s">
        <v>12</v>
      </c>
      <c r="C57">
        <v>2014</v>
      </c>
      <c r="D57">
        <v>6401.3532111102104</v>
      </c>
      <c r="E57">
        <v>4511.3011970673397</v>
      </c>
      <c r="F57">
        <v>9083.2602709012499</v>
      </c>
      <c r="G57">
        <v>8.7642646862336093</v>
      </c>
      <c r="H57">
        <v>0.17853582226355699</v>
      </c>
      <c r="I57">
        <v>6401.3532111102204</v>
      </c>
      <c r="J57" t="s">
        <v>10</v>
      </c>
    </row>
    <row r="58" spans="1:25" x14ac:dyDescent="0.25">
      <c r="A58">
        <v>57</v>
      </c>
      <c r="B58" t="s">
        <v>12</v>
      </c>
      <c r="C58">
        <v>2015</v>
      </c>
      <c r="D58">
        <v>5336.6485739970403</v>
      </c>
      <c r="E58">
        <v>3702.24174948065</v>
      </c>
      <c r="F58">
        <v>7692.5873374799903</v>
      </c>
      <c r="G58">
        <v>8.5823531270602604</v>
      </c>
      <c r="H58">
        <v>0.186564312683457</v>
      </c>
      <c r="I58">
        <v>5336.6485739970403</v>
      </c>
      <c r="J58" t="s">
        <v>10</v>
      </c>
    </row>
    <row r="59" spans="1:25" x14ac:dyDescent="0.25">
      <c r="A59">
        <v>58</v>
      </c>
      <c r="B59" t="s">
        <v>12</v>
      </c>
      <c r="C59">
        <v>2016</v>
      </c>
      <c r="D59">
        <v>9583.6246892115396</v>
      </c>
      <c r="E59">
        <v>6797.6832466903497</v>
      </c>
      <c r="F59">
        <v>13511.3477416564</v>
      </c>
      <c r="G59">
        <v>9.1678111594477496</v>
      </c>
      <c r="H59">
        <v>0.175245069838046</v>
      </c>
      <c r="I59">
        <v>9583.6246892115505</v>
      </c>
      <c r="J59" t="s">
        <v>10</v>
      </c>
    </row>
    <row r="60" spans="1:25" x14ac:dyDescent="0.25">
      <c r="A60">
        <v>59</v>
      </c>
      <c r="B60" t="s">
        <v>12</v>
      </c>
      <c r="C60">
        <v>2017</v>
      </c>
      <c r="D60">
        <v>7486.2201633582599</v>
      </c>
      <c r="E60">
        <v>5288.0149263149497</v>
      </c>
      <c r="F60">
        <v>10598.2099360916</v>
      </c>
      <c r="G60">
        <v>8.9208192980450303</v>
      </c>
      <c r="H60">
        <v>0.177360959988388</v>
      </c>
      <c r="I60">
        <v>7486.2201633582499</v>
      </c>
      <c r="J60" t="s">
        <v>10</v>
      </c>
    </row>
    <row r="61" spans="1:25" x14ac:dyDescent="0.25">
      <c r="A61">
        <v>60</v>
      </c>
      <c r="B61" t="s">
        <v>12</v>
      </c>
      <c r="C61">
        <v>2018</v>
      </c>
      <c r="D61">
        <v>9145.0357004313792</v>
      </c>
      <c r="E61">
        <v>6382.49510928981</v>
      </c>
      <c r="F61">
        <v>13103.289000635101</v>
      </c>
      <c r="G61">
        <v>9.1209664646370694</v>
      </c>
      <c r="H61">
        <v>0.183499331940459</v>
      </c>
      <c r="I61">
        <v>9145.0357004313901</v>
      </c>
      <c r="J61" t="s">
        <v>10</v>
      </c>
    </row>
    <row r="62" spans="1:25" x14ac:dyDescent="0.25">
      <c r="A62">
        <v>61</v>
      </c>
      <c r="B62" t="s">
        <v>12</v>
      </c>
      <c r="C62">
        <v>2019</v>
      </c>
      <c r="D62">
        <v>4592.9612952550997</v>
      </c>
      <c r="E62">
        <v>3022.2649991091598</v>
      </c>
      <c r="F62">
        <v>6979.9615407415904</v>
      </c>
      <c r="G62">
        <v>8.4322802573917706</v>
      </c>
      <c r="H62">
        <v>0.21353373415444499</v>
      </c>
      <c r="I62">
        <v>4592.9612952550997</v>
      </c>
      <c r="J62" t="s">
        <v>10</v>
      </c>
    </row>
    <row r="63" spans="1:25" x14ac:dyDescent="0.25">
      <c r="A63">
        <v>62</v>
      </c>
      <c r="B63" t="s">
        <v>12</v>
      </c>
      <c r="C63">
        <v>2021</v>
      </c>
      <c r="D63">
        <v>4506.0309572054703</v>
      </c>
      <c r="E63">
        <v>3237.21847992119</v>
      </c>
      <c r="F63">
        <v>6272.1484858780204</v>
      </c>
      <c r="G63">
        <v>8.4131719911872906</v>
      </c>
      <c r="H63">
        <v>0.168728735618525</v>
      </c>
      <c r="I63">
        <v>4506.0309572054803</v>
      </c>
      <c r="J63" t="s">
        <v>10</v>
      </c>
    </row>
    <row r="64" spans="1:25" x14ac:dyDescent="0.25">
      <c r="A64">
        <v>63</v>
      </c>
      <c r="B64" t="s">
        <v>12</v>
      </c>
      <c r="C64">
        <v>2022</v>
      </c>
      <c r="D64">
        <v>3602.6796167398702</v>
      </c>
      <c r="E64">
        <v>2622.3080160229802</v>
      </c>
      <c r="F64">
        <v>4949.5712714013898</v>
      </c>
      <c r="G64">
        <v>8.1894331855453704</v>
      </c>
      <c r="H64">
        <v>0.162055556598801</v>
      </c>
      <c r="I64">
        <v>3602.6796167398602</v>
      </c>
      <c r="J64" t="s">
        <v>10</v>
      </c>
    </row>
    <row r="65" spans="1:10" x14ac:dyDescent="0.25">
      <c r="A65">
        <v>64</v>
      </c>
      <c r="B65" t="s">
        <v>12</v>
      </c>
      <c r="C65">
        <v>2023</v>
      </c>
      <c r="D65">
        <v>4160.84230778644</v>
      </c>
      <c r="E65">
        <v>2899.10545799698</v>
      </c>
      <c r="F65">
        <v>5971.7071217640396</v>
      </c>
      <c r="G65">
        <v>8.3334728105927205</v>
      </c>
      <c r="H65">
        <v>0.18434793078456799</v>
      </c>
      <c r="I65">
        <v>4160.84230778643</v>
      </c>
      <c r="J65" t="s">
        <v>10</v>
      </c>
    </row>
    <row r="66" spans="1:10" x14ac:dyDescent="0.25">
      <c r="A66">
        <v>65</v>
      </c>
      <c r="B66" t="s">
        <v>12</v>
      </c>
      <c r="C66">
        <v>2024</v>
      </c>
      <c r="D66">
        <v>5273.5747851265496</v>
      </c>
      <c r="E66">
        <v>3870.5539321225801</v>
      </c>
      <c r="F66">
        <v>7185.1707796954497</v>
      </c>
      <c r="G66">
        <v>8.5704637389238894</v>
      </c>
      <c r="H66">
        <v>0.15781454693417499</v>
      </c>
      <c r="I66">
        <v>5273.5747851265496</v>
      </c>
      <c r="J66" t="s">
        <v>10</v>
      </c>
    </row>
    <row r="67" spans="1:10" x14ac:dyDescent="0.25">
      <c r="A67">
        <v>66</v>
      </c>
      <c r="B67" t="s">
        <v>12</v>
      </c>
      <c r="C67">
        <v>2025</v>
      </c>
      <c r="D67">
        <v>4806.42657399785</v>
      </c>
      <c r="E67">
        <v>3449.8933049416801</v>
      </c>
      <c r="F67">
        <v>6696.3625739211802</v>
      </c>
      <c r="G67">
        <v>8.4777091709921901</v>
      </c>
      <c r="H67">
        <v>0.169192184226125</v>
      </c>
      <c r="I67">
        <v>4806.42657399785</v>
      </c>
      <c r="J67" t="s">
        <v>10</v>
      </c>
    </row>
    <row r="68" spans="1:10" x14ac:dyDescent="0.25">
      <c r="A68">
        <v>67</v>
      </c>
      <c r="B68" t="s">
        <v>13</v>
      </c>
      <c r="C68">
        <v>2003</v>
      </c>
      <c r="D68">
        <v>12617.818493651899</v>
      </c>
      <c r="E68">
        <v>6851.8255618189996</v>
      </c>
      <c r="F68">
        <v>23236.0474011365</v>
      </c>
      <c r="G68">
        <v>9.4428652601111693</v>
      </c>
      <c r="H68">
        <v>0.31153371378372602</v>
      </c>
      <c r="I68">
        <v>12617.818493651899</v>
      </c>
      <c r="J68" t="s">
        <v>10</v>
      </c>
    </row>
    <row r="69" spans="1:10" x14ac:dyDescent="0.25">
      <c r="A69">
        <v>68</v>
      </c>
      <c r="B69" t="s">
        <v>13</v>
      </c>
      <c r="C69">
        <v>2004</v>
      </c>
      <c r="D69">
        <v>13771.1436320263</v>
      </c>
      <c r="E69">
        <v>8003.8532635777601</v>
      </c>
      <c r="F69">
        <v>23694.137147277699</v>
      </c>
      <c r="G69">
        <v>9.5303306407087707</v>
      </c>
      <c r="H69">
        <v>0.27686849469679298</v>
      </c>
      <c r="I69">
        <v>13771.1436320263</v>
      </c>
      <c r="J69" t="s">
        <v>10</v>
      </c>
    </row>
    <row r="70" spans="1:10" x14ac:dyDescent="0.25">
      <c r="A70">
        <v>69</v>
      </c>
      <c r="B70" t="s">
        <v>13</v>
      </c>
      <c r="C70">
        <v>2005</v>
      </c>
      <c r="D70">
        <v>11918.9155884541</v>
      </c>
      <c r="E70">
        <v>7076.6395245117701</v>
      </c>
      <c r="F70">
        <v>20074.5775325465</v>
      </c>
      <c r="G70">
        <v>9.3858819623579706</v>
      </c>
      <c r="H70">
        <v>0.26598832217926299</v>
      </c>
      <c r="I70">
        <v>11918.9155884541</v>
      </c>
      <c r="J70" t="s">
        <v>10</v>
      </c>
    </row>
    <row r="71" spans="1:10" x14ac:dyDescent="0.25">
      <c r="A71">
        <v>70</v>
      </c>
      <c r="B71" t="s">
        <v>13</v>
      </c>
      <c r="C71">
        <v>2006</v>
      </c>
      <c r="D71">
        <v>10156.1024426535</v>
      </c>
      <c r="E71">
        <v>6160.9663883144603</v>
      </c>
      <c r="F71">
        <v>16741.921692887601</v>
      </c>
      <c r="G71">
        <v>9.2258300296832605</v>
      </c>
      <c r="H71">
        <v>0.255025657707525</v>
      </c>
      <c r="I71">
        <v>10156.102442653601</v>
      </c>
      <c r="J71" t="s">
        <v>10</v>
      </c>
    </row>
    <row r="72" spans="1:10" x14ac:dyDescent="0.25">
      <c r="A72">
        <v>71</v>
      </c>
      <c r="B72" t="s">
        <v>13</v>
      </c>
      <c r="C72">
        <v>2007</v>
      </c>
      <c r="D72">
        <v>5390.3283931817396</v>
      </c>
      <c r="E72">
        <v>3144.8278713517602</v>
      </c>
      <c r="F72">
        <v>9239.1829934565103</v>
      </c>
      <c r="G72">
        <v>8.5923615884259092</v>
      </c>
      <c r="H72">
        <v>0.27492706801209499</v>
      </c>
      <c r="I72">
        <v>5390.3283931817296</v>
      </c>
      <c r="J72" t="s">
        <v>10</v>
      </c>
    </row>
    <row r="73" spans="1:10" x14ac:dyDescent="0.25">
      <c r="A73">
        <v>72</v>
      </c>
      <c r="B73" t="s">
        <v>13</v>
      </c>
      <c r="C73">
        <v>2008</v>
      </c>
      <c r="D73">
        <v>4355.0128142302501</v>
      </c>
      <c r="E73">
        <v>2494.6184530137198</v>
      </c>
      <c r="F73">
        <v>7602.8206194005097</v>
      </c>
      <c r="G73">
        <v>8.3790828317002397</v>
      </c>
      <c r="H73">
        <v>0.28428673396432103</v>
      </c>
      <c r="I73">
        <v>4355.0128142302501</v>
      </c>
      <c r="J73" t="s">
        <v>10</v>
      </c>
    </row>
    <row r="74" spans="1:10" x14ac:dyDescent="0.25">
      <c r="A74">
        <v>73</v>
      </c>
      <c r="B74" t="s">
        <v>13</v>
      </c>
      <c r="C74">
        <v>2009</v>
      </c>
      <c r="D74">
        <v>5966.01707493501</v>
      </c>
      <c r="E74">
        <v>3425.6627892215702</v>
      </c>
      <c r="F74">
        <v>10390.2111586716</v>
      </c>
      <c r="G74">
        <v>8.6938348271113295</v>
      </c>
      <c r="H74">
        <v>0.28305855842837901</v>
      </c>
      <c r="I74">
        <v>5966.01707493501</v>
      </c>
      <c r="J74" t="s">
        <v>10</v>
      </c>
    </row>
    <row r="75" spans="1:10" x14ac:dyDescent="0.25">
      <c r="A75">
        <v>74</v>
      </c>
      <c r="B75" t="s">
        <v>13</v>
      </c>
      <c r="C75">
        <v>2010</v>
      </c>
      <c r="D75">
        <v>4894.23798681876</v>
      </c>
      <c r="E75">
        <v>2659.4453054643</v>
      </c>
      <c r="F75">
        <v>9006.9780425274803</v>
      </c>
      <c r="G75">
        <v>8.4958138711036604</v>
      </c>
      <c r="H75">
        <v>0.31120011779051299</v>
      </c>
      <c r="I75">
        <v>4894.23798681876</v>
      </c>
      <c r="J75" t="s">
        <v>10</v>
      </c>
    </row>
    <row r="76" spans="1:10" x14ac:dyDescent="0.25">
      <c r="A76">
        <v>75</v>
      </c>
      <c r="B76" t="s">
        <v>13</v>
      </c>
      <c r="C76">
        <v>2011</v>
      </c>
      <c r="D76">
        <v>7581.9679950825903</v>
      </c>
      <c r="E76">
        <v>3789.89524824315</v>
      </c>
      <c r="F76">
        <v>15168.292238447801</v>
      </c>
      <c r="G76">
        <v>8.93352807489652</v>
      </c>
      <c r="H76">
        <v>0.35379957063380202</v>
      </c>
      <c r="I76">
        <v>7581.9679950826003</v>
      </c>
      <c r="J76" t="s">
        <v>10</v>
      </c>
    </row>
    <row r="77" spans="1:10" x14ac:dyDescent="0.25">
      <c r="A77">
        <v>76</v>
      </c>
      <c r="B77" t="s">
        <v>13</v>
      </c>
      <c r="C77">
        <v>2012</v>
      </c>
      <c r="D77">
        <v>11103.6437699527</v>
      </c>
      <c r="E77">
        <v>5901.1749932111097</v>
      </c>
      <c r="F77">
        <v>20892.602763322</v>
      </c>
      <c r="G77">
        <v>9.3150286009957206</v>
      </c>
      <c r="H77">
        <v>0.32251706894835902</v>
      </c>
      <c r="I77">
        <v>11103.6437699527</v>
      </c>
      <c r="J77" t="s">
        <v>10</v>
      </c>
    </row>
    <row r="78" spans="1:10" x14ac:dyDescent="0.25">
      <c r="A78">
        <v>77</v>
      </c>
      <c r="B78" t="s">
        <v>13</v>
      </c>
      <c r="C78">
        <v>2013</v>
      </c>
      <c r="D78">
        <v>13828.749982425399</v>
      </c>
      <c r="E78">
        <v>7184.9319007372296</v>
      </c>
      <c r="F78">
        <v>26616.024858469202</v>
      </c>
      <c r="G78">
        <v>9.5345050360782508</v>
      </c>
      <c r="H78">
        <v>0.33406925879835297</v>
      </c>
      <c r="I78">
        <v>13828.749982425399</v>
      </c>
      <c r="J78" t="s">
        <v>10</v>
      </c>
    </row>
    <row r="79" spans="1:10" x14ac:dyDescent="0.25">
      <c r="A79">
        <v>78</v>
      </c>
      <c r="B79" t="s">
        <v>13</v>
      </c>
      <c r="C79">
        <v>2014</v>
      </c>
      <c r="D79">
        <v>15121.711527839399</v>
      </c>
      <c r="E79">
        <v>8524.2976558055198</v>
      </c>
      <c r="F79">
        <v>26825.219949406299</v>
      </c>
      <c r="G79">
        <v>9.6238868396129806</v>
      </c>
      <c r="H79">
        <v>0.292459928749917</v>
      </c>
      <c r="I79">
        <v>15121.711527839399</v>
      </c>
      <c r="J79" t="s">
        <v>10</v>
      </c>
    </row>
    <row r="80" spans="1:10" x14ac:dyDescent="0.25">
      <c r="A80">
        <v>79</v>
      </c>
      <c r="B80" t="s">
        <v>13</v>
      </c>
      <c r="C80">
        <v>2015</v>
      </c>
      <c r="D80">
        <v>11804.1525502146</v>
      </c>
      <c r="E80">
        <v>6534.0923787060601</v>
      </c>
      <c r="F80">
        <v>21324.770045006699</v>
      </c>
      <c r="G80">
        <v>9.3762066595827296</v>
      </c>
      <c r="H80">
        <v>0.30174938622928099</v>
      </c>
      <c r="I80">
        <v>11804.1525502146</v>
      </c>
      <c r="J80" t="s">
        <v>10</v>
      </c>
    </row>
    <row r="81" spans="1:10" x14ac:dyDescent="0.25">
      <c r="A81">
        <v>80</v>
      </c>
      <c r="B81" t="s">
        <v>13</v>
      </c>
      <c r="C81">
        <v>2016</v>
      </c>
      <c r="D81">
        <v>13423.590840507</v>
      </c>
      <c r="E81">
        <v>7709.6604633711304</v>
      </c>
      <c r="F81">
        <v>23372.3381087204</v>
      </c>
      <c r="G81">
        <v>9.5047689485424591</v>
      </c>
      <c r="H81">
        <v>0.28293352622915902</v>
      </c>
      <c r="I81">
        <v>13423.590840507</v>
      </c>
      <c r="J81" t="s">
        <v>10</v>
      </c>
    </row>
    <row r="82" spans="1:10" x14ac:dyDescent="0.25">
      <c r="A82">
        <v>81</v>
      </c>
      <c r="B82" t="s">
        <v>13</v>
      </c>
      <c r="C82">
        <v>2017</v>
      </c>
      <c r="D82">
        <v>14990.629967790701</v>
      </c>
      <c r="E82">
        <v>8529.6397294676899</v>
      </c>
      <c r="F82">
        <v>26345.659835418399</v>
      </c>
      <c r="G82">
        <v>9.6151806160835402</v>
      </c>
      <c r="H82">
        <v>0.28769825192651299</v>
      </c>
      <c r="I82">
        <v>14990.629967790701</v>
      </c>
      <c r="J82" t="s">
        <v>10</v>
      </c>
    </row>
    <row r="83" spans="1:10" x14ac:dyDescent="0.25">
      <c r="A83">
        <v>82</v>
      </c>
      <c r="B83" t="s">
        <v>13</v>
      </c>
      <c r="C83">
        <v>2018</v>
      </c>
      <c r="D83">
        <v>15884.2222533687</v>
      </c>
      <c r="E83">
        <v>9044.6924256638104</v>
      </c>
      <c r="F83">
        <v>27895.754186013299</v>
      </c>
      <c r="G83">
        <v>9.6730815844328202</v>
      </c>
      <c r="H83">
        <v>0.28732578584370999</v>
      </c>
      <c r="I83">
        <v>15884.2222533687</v>
      </c>
      <c r="J83" t="s">
        <v>10</v>
      </c>
    </row>
    <row r="84" spans="1:10" x14ac:dyDescent="0.25">
      <c r="A84">
        <v>83</v>
      </c>
      <c r="B84" t="s">
        <v>13</v>
      </c>
      <c r="C84">
        <v>2019</v>
      </c>
      <c r="D84">
        <v>7071.6575229876598</v>
      </c>
      <c r="E84">
        <v>3731.3997820087902</v>
      </c>
      <c r="F84">
        <v>13402.032224889699</v>
      </c>
      <c r="G84">
        <v>8.8638501759654993</v>
      </c>
      <c r="H84">
        <v>0.32618530855218097</v>
      </c>
      <c r="I84">
        <v>7071.6575229876698</v>
      </c>
      <c r="J84" t="s">
        <v>10</v>
      </c>
    </row>
    <row r="85" spans="1:10" x14ac:dyDescent="0.25">
      <c r="A85">
        <v>84</v>
      </c>
      <c r="B85" t="s">
        <v>13</v>
      </c>
      <c r="C85">
        <v>2021</v>
      </c>
      <c r="D85">
        <v>7400.1951402466502</v>
      </c>
      <c r="E85">
        <v>4374.4832323641704</v>
      </c>
      <c r="F85">
        <v>12518.710257836299</v>
      </c>
      <c r="G85">
        <v>8.9092616491481706</v>
      </c>
      <c r="H85">
        <v>0.26822838572368402</v>
      </c>
      <c r="I85">
        <v>7400.1951402466502</v>
      </c>
      <c r="J85" t="s">
        <v>10</v>
      </c>
    </row>
    <row r="86" spans="1:10" x14ac:dyDescent="0.25">
      <c r="A86">
        <v>85</v>
      </c>
      <c r="B86" t="s">
        <v>13</v>
      </c>
      <c r="C86">
        <v>2022</v>
      </c>
      <c r="D86">
        <v>4261.7780442466001</v>
      </c>
      <c r="E86">
        <v>2454.7290429572399</v>
      </c>
      <c r="F86">
        <v>7399.0863270764403</v>
      </c>
      <c r="G86">
        <v>8.3574417334626201</v>
      </c>
      <c r="H86">
        <v>0.28146949288057499</v>
      </c>
      <c r="I86">
        <v>4261.7780442466001</v>
      </c>
      <c r="J86" t="s">
        <v>10</v>
      </c>
    </row>
    <row r="87" spans="1:10" x14ac:dyDescent="0.25">
      <c r="A87">
        <v>86</v>
      </c>
      <c r="B87" t="s">
        <v>13</v>
      </c>
      <c r="C87">
        <v>2023</v>
      </c>
      <c r="D87">
        <v>6017.1725116179496</v>
      </c>
      <c r="E87">
        <v>3473.2434614152498</v>
      </c>
      <c r="F87">
        <v>10424.367147535801</v>
      </c>
      <c r="G87">
        <v>8.7023727455120206</v>
      </c>
      <c r="H87">
        <v>0.28037688364409102</v>
      </c>
      <c r="I87">
        <v>6017.1725116179496</v>
      </c>
      <c r="J87" t="s">
        <v>10</v>
      </c>
    </row>
    <row r="88" spans="1:10" x14ac:dyDescent="0.25">
      <c r="A88">
        <v>87</v>
      </c>
      <c r="B88" t="s">
        <v>13</v>
      </c>
      <c r="C88">
        <v>2024</v>
      </c>
      <c r="D88">
        <v>7635.7432475855003</v>
      </c>
      <c r="E88">
        <v>4195.47197515683</v>
      </c>
      <c r="F88">
        <v>13897.0240507608</v>
      </c>
      <c r="G88">
        <v>8.9405955603392098</v>
      </c>
      <c r="H88">
        <v>0.305533389140562</v>
      </c>
      <c r="I88">
        <v>7635.7432475855003</v>
      </c>
      <c r="J88" t="s">
        <v>10</v>
      </c>
    </row>
    <row r="89" spans="1:10" x14ac:dyDescent="0.25">
      <c r="A89">
        <v>88</v>
      </c>
      <c r="B89" t="s">
        <v>13</v>
      </c>
      <c r="C89">
        <v>2025</v>
      </c>
      <c r="D89">
        <v>8217.9258872490009</v>
      </c>
      <c r="E89">
        <v>4545.9475973530998</v>
      </c>
      <c r="F89">
        <v>14855.9358510071</v>
      </c>
      <c r="G89">
        <v>9.0140731310586908</v>
      </c>
      <c r="H89">
        <v>0.30208802742395202</v>
      </c>
      <c r="I89">
        <v>8217.9258872490009</v>
      </c>
      <c r="J89" t="s">
        <v>10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lingcod_indices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Vladlena.Gertseva</dc:creator>
  <cp:lastModifiedBy>Vladlena.Gertseva</cp:lastModifiedBy>
  <dcterms:created xsi:type="dcterms:W3CDTF">2026-09-10T17:02:21Z</dcterms:created>
  <dcterms:modified xsi:type="dcterms:W3CDTF">2026-09-11T17:44:52Z</dcterms:modified>
</cp:coreProperties>
</file>